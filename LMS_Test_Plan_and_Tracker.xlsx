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Summary" sheetId="2" state="visible" r:id="rId4"/>
    <sheet name="Acceptance Criteria" sheetId="3" state="visible" r:id="rId5"/>
    <sheet name="Test Cases" sheetId="4" state="visible" r:id="rId6"/>
  </sheets>
  <definedNames>
    <definedName function="false" hidden="true" localSheetId="2" name="_xlnm._FilterDatabase" vbProcedure="false">'Acceptance Criteria'!$A$1:$D$38</definedName>
    <definedName function="false" hidden="true" localSheetId="3" name="_xlnm._FilterDatabase" vbProcedure="false">'Test Cases'!$A$1:$M$119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<sst xmlns="http://schemas.openxmlformats.org/spreadsheetml/2006/main" count="1269" uniqueCount="650">
  <si>
    <t xml:space="preserve">Library Management System: Test Plan and Tracker</t>
  </si>
  <si>
    <t xml:space="preserve">Linked to Project Brief v1.0 (business rules BR-1 to BR-12, FR-1 to FR-10).</t>
  </si>
  <si>
    <t xml:space="preserve">How to use this workbook</t>
  </si>
  <si>
    <t xml:space="preserve">1. Work through 'Test Cases' feature by feature, right after each feature is built. Do not move on until the High priority cases pass.</t>
  </si>
  <si>
    <t xml:space="preserve">2. Fill only the light-yellow columns: Actual result, Status, Tested by, Date, Notes. Everything else is fixed.</t>
  </si>
  <si>
    <t xml:space="preserve">3. Status values: Not run, Pass, Fail, Blocked. The Summary sheet updates automatically.</t>
  </si>
  <si>
    <t xml:space="preserve">4. When a case fails, paste the exact steps, expected and actual result into the AI chat as a bug report. Re-test, then re-run earlier High priority cases to catch regressions.</t>
  </si>
  <si>
    <t xml:space="preserve">Example of a filled row (for format only)</t>
  </si>
  <si>
    <t xml:space="preserve">Case: Block issue for a member with an unpaid fine. Actual result: Blocked with message 'Member has an unpaid fine'. Status: Pass. Tested by: Soham. Date: 2026-11-02.</t>
  </si>
  <si>
    <t xml:space="preserve">Test data and setup tips</t>
  </si>
  <si>
    <t xml:space="preserve">Use the seed data from the brief: 1 librarian, 2 students, about 30 books, 10 members, overdue transactions, one Unpaid and one Paid fine, one Inactive member, one book with 0 copies.</t>
  </si>
  <si>
    <t xml:space="preserve">To test late returns without waiting, use the seeded overdue transactions, or for testing only edit a test transaction's issue and due dates in Supabase so it is N days overdue. Never do this to demo data you need.</t>
  </si>
  <si>
    <t xml:space="preserve">Keep the demo data fictional. Do not use real classmates' details.</t>
  </si>
  <si>
    <t xml:space="preserve">Test security cases (RLS) as a real student login, not just by hiding buttons.</t>
  </si>
  <si>
    <t xml:space="preserve">Offline tests need the deployed HTTPS site. The AI Studio preview may not support service workers.</t>
  </si>
  <si>
    <t xml:space="preserve">Assumption: priorities are my suggestion (High = core rule or security, Medium = important behaviour, Low = optional or design-level). Adjust to your marking scheme.</t>
  </si>
  <si>
    <t xml:space="preserve">Sheets</t>
  </si>
  <si>
    <t xml:space="preserve">Summary: pass/fail counts per feature.</t>
  </si>
  <si>
    <t xml:space="preserve">Acceptance Criteria: plain-English statements per feature (paste the relevant ones into each build prompt).</t>
  </si>
  <si>
    <t xml:space="preserve">Test Cases: the full checklist with steps, expected results and tracking columns.</t>
  </si>
  <si>
    <t xml:space="preserve">Test Progress Summary</t>
  </si>
  <si>
    <t xml:space="preserve">Feature</t>
  </si>
  <si>
    <t xml:space="preserve">Total</t>
  </si>
  <si>
    <t xml:space="preserve">Pass</t>
  </si>
  <si>
    <t xml:space="preserve">Fail</t>
  </si>
  <si>
    <t xml:space="preserve">Blocked</t>
  </si>
  <si>
    <t xml:space="preserve">Not run</t>
  </si>
  <si>
    <t xml:space="preserve">Pass %</t>
  </si>
  <si>
    <t xml:space="preserve">Login &amp; Access Control</t>
  </si>
  <si>
    <t xml:space="preserve">Catalogue Management</t>
  </si>
  <si>
    <t xml:space="preserve">Member Management</t>
  </si>
  <si>
    <t xml:space="preserve">Search &amp; Availability</t>
  </si>
  <si>
    <t xml:space="preserve">Issue Book</t>
  </si>
  <si>
    <t xml:space="preserve">Return Book &amp; Fines</t>
  </si>
  <si>
    <t xml:space="preserve">Fine Payment</t>
  </si>
  <si>
    <t xml:space="preserve">Student View</t>
  </si>
  <si>
    <t xml:space="preserve">Slips &amp; Printing</t>
  </si>
  <si>
    <t xml:space="preserve">Offline Mode (PWA)</t>
  </si>
  <si>
    <t xml:space="preserve">Non-Functional</t>
  </si>
  <si>
    <t xml:space="preserve">Data Integrity &amp; Dates</t>
  </si>
  <si>
    <t xml:space="preserve">High priority cases not yet passed:</t>
  </si>
  <si>
    <t xml:space="preserve">ID</t>
  </si>
  <si>
    <t xml:space="preserve">Linked requirement</t>
  </si>
  <si>
    <t xml:space="preserve">Acceptance criterion</t>
  </si>
  <si>
    <t xml:space="preserve">AC-AUTH-01</t>
  </si>
  <si>
    <t xml:space="preserve">FR-10</t>
  </si>
  <si>
    <t xml:space="preserve">Only users with valid credentials can access the app, and every dashboard page requires login.</t>
  </si>
  <si>
    <t xml:space="preserve">AC-AUTH-02</t>
  </si>
  <si>
    <t xml:space="preserve">NFR-2</t>
  </si>
  <si>
    <t xml:space="preserve">Passwords are stored only as hashes, never as plain text.</t>
  </si>
  <si>
    <t xml:space="preserve">AC-AUTH-03</t>
  </si>
  <si>
    <t xml:space="preserve">A student can sign up only with an email the librarian has already registered, and is linked to that member record.</t>
  </si>
  <si>
    <t xml:space="preserve">AC-AUTH-04</t>
  </si>
  <si>
    <t xml:space="preserve">FR-10 / RLS</t>
  </si>
  <si>
    <t xml:space="preserve">Students can never perform librarian actions or read other members' data, even by calling the database directly.</t>
  </si>
  <si>
    <t xml:space="preserve">AC-CAT-01</t>
  </si>
  <si>
    <t xml:space="preserve">FR-1</t>
  </si>
  <si>
    <t xml:space="preserve">Librarian can add, edit and delete books, authors and categories. ISBN and category names must be unique.</t>
  </si>
  <si>
    <t xml:space="preserve">AC-CAT-02</t>
  </si>
  <si>
    <t xml:space="preserve">FR-1 / BR-5</t>
  </si>
  <si>
    <t xml:space="preserve">A new book starts with available copies equal to total copies.</t>
  </si>
  <si>
    <t xml:space="preserve">AC-CAT-03</t>
  </si>
  <si>
    <t xml:space="preserve">BR-8</t>
  </si>
  <si>
    <t xml:space="preserve">A book with an active issue cannot be deleted, and total copies cannot drop below the number currently issued.</t>
  </si>
  <si>
    <t xml:space="preserve">AC-MEM-01</t>
  </si>
  <si>
    <t xml:space="preserve">FR-2</t>
  </si>
  <si>
    <t xml:space="preserve">Librarian can register a member with name, contact details and membership type. New members are Active with a unique member code and unique email.</t>
  </si>
  <si>
    <t xml:space="preserve">AC-MEM-02</t>
  </si>
  <si>
    <t xml:space="preserve">Librarian can update contact details, membership type and status.</t>
  </si>
  <si>
    <t xml:space="preserve">AC-MEM-03</t>
  </si>
  <si>
    <t xml:space="preserve">A member with an active issue cannot be deleted.</t>
  </si>
  <si>
    <t xml:space="preserve">AC-SRCH-01</t>
  </si>
  <si>
    <t xml:space="preserve">FR-9 / BR-9</t>
  </si>
  <si>
    <t xml:space="preserve">Search matches partial, case-insensitive text across title, author, category and ISBN, for both librarian and students.</t>
  </si>
  <si>
    <t xml:space="preserve">AC-SRCH-02</t>
  </si>
  <si>
    <t xml:space="preserve">FR-7</t>
  </si>
  <si>
    <t xml:space="preserve">Every result shows correct availability.</t>
  </si>
  <si>
    <t xml:space="preserve">AC-SRCH-03</t>
  </si>
  <si>
    <t xml:space="preserve">BR-10</t>
  </si>
  <si>
    <t xml:space="preserve">An unavailable book shows the earliest expected return date.</t>
  </si>
  <si>
    <t xml:space="preserve">AC-SRCH-04</t>
  </si>
  <si>
    <t xml:space="preserve">FR-9</t>
  </si>
  <si>
    <t xml:space="preserve">No results, empty input and special characters are handled without errors.</t>
  </si>
  <si>
    <t xml:space="preserve">AC-ISS-01</t>
  </si>
  <si>
    <t xml:space="preserve">FR-3 / BR-1</t>
  </si>
  <si>
    <t xml:space="preserve">A valid issue creates a transaction linked to the member and book, with due date = issue date + 14 days.</t>
  </si>
  <si>
    <t xml:space="preserve">AC-ISS-02</t>
  </si>
  <si>
    <t xml:space="preserve">FR-7 / BR-5</t>
  </si>
  <si>
    <t xml:space="preserve">Issuing reduces available copies by exactly 1.</t>
  </si>
  <si>
    <t xml:space="preserve">AC-ISS-03</t>
  </si>
  <si>
    <t xml:space="preserve">FR-8 / BR-3 / BR-4</t>
  </si>
  <si>
    <t xml:space="preserve">Issue is blocked, with the specific reason shown, if copies are 0, the member is not Active, the member has an unpaid fine, or the member already has 5 books.</t>
  </si>
  <si>
    <t xml:space="preserve">AC-ISS-04</t>
  </si>
  <si>
    <t xml:space="preserve">BR-5</t>
  </si>
  <si>
    <t xml:space="preserve">A blocked or failed issue changes nothing in the database.</t>
  </si>
  <si>
    <t xml:space="preserve">AC-ISS-05</t>
  </si>
  <si>
    <t xml:space="preserve">Two simultaneous issues of the last copy result in exactly one success.</t>
  </si>
  <si>
    <t xml:space="preserve">AC-RET-01</t>
  </si>
  <si>
    <t xml:space="preserve">FR-4</t>
  </si>
  <si>
    <t xml:space="preserve">Librarian records a return. Return date and transaction status (Returned) update automatically.</t>
  </si>
  <si>
    <t xml:space="preserve">AC-RET-02</t>
  </si>
  <si>
    <t xml:space="preserve">FR-5 / BR-2</t>
  </si>
  <si>
    <t xml:space="preserve">Returned on or before the due date means no fine. Returned late means fine = days late x Rs 5 with no cap, and status Unpaid.</t>
  </si>
  <si>
    <t xml:space="preserve">AC-RET-03</t>
  </si>
  <si>
    <t xml:space="preserve">Return increases available copies by 1 and never above total copies.</t>
  </si>
  <si>
    <t xml:space="preserve">AC-RET-04</t>
  </si>
  <si>
    <t xml:space="preserve">BR-6</t>
  </si>
  <si>
    <t xml:space="preserve">A transaction cannot be returned twice.</t>
  </si>
  <si>
    <t xml:space="preserve">AC-FIN-01</t>
  </si>
  <si>
    <t xml:space="preserve">FR-6</t>
  </si>
  <si>
    <t xml:space="preserve">Librarian can view fines and filter by Paid and Unpaid.</t>
  </si>
  <si>
    <t xml:space="preserve">AC-FIN-02</t>
  </si>
  <si>
    <t xml:space="preserve">BR-7</t>
  </si>
  <si>
    <t xml:space="preserve">Paying marks the fine Paid in full and records paid date and collector. No partial payments exist.</t>
  </si>
  <si>
    <t xml:space="preserve">AC-FIN-03</t>
  </si>
  <si>
    <t xml:space="preserve">BR-7 / BR-4</t>
  </si>
  <si>
    <t xml:space="preserve">A Paid fine cannot be paid again. Once a member's unpaid fines are cleared, issuing is allowed again.</t>
  </si>
  <si>
    <t xml:space="preserve">AC-STU-01</t>
  </si>
  <si>
    <t xml:space="preserve">A student sees own current books with due dates (overdue highlighted), history, and fines with status.</t>
  </si>
  <si>
    <t xml:space="preserve">AC-STU-02</t>
  </si>
  <si>
    <t xml:space="preserve">A student with nothing to show sees clear empty states.</t>
  </si>
  <si>
    <t xml:space="preserve">AC-SLIP-01</t>
  </si>
  <si>
    <t xml:space="preserve">BR-12</t>
  </si>
  <si>
    <t xml:space="preserve">Issue, return and fine payment each produce an on-screen slip with correct details that can be printed or saved as PDF.</t>
  </si>
  <si>
    <t xml:space="preserve">AC-OFF-01</t>
  </si>
  <si>
    <t xml:space="preserve">After one online visit, catalogue search works offline with a last-synced banner.</t>
  </si>
  <si>
    <t xml:space="preserve">AC-OFF-02</t>
  </si>
  <si>
    <t xml:space="preserve">Design</t>
  </si>
  <si>
    <t xml:space="preserve">All write actions are disabled offline with a clear message, and work again when back online.</t>
  </si>
  <si>
    <t xml:space="preserve">AC-NFR-01</t>
  </si>
  <si>
    <t xml:space="preserve">NFR-1</t>
  </si>
  <si>
    <t xml:space="preserve">Catalogue search and issuing complete in under 2 seconds.</t>
  </si>
  <si>
    <t xml:space="preserve">AC-NFR-02</t>
  </si>
  <si>
    <t xml:space="preserve">NFR-7</t>
  </si>
  <si>
    <t xml:space="preserve">The app works in Chrome, Firefox, Safari and Edge, and is usable at mobile widths.</t>
  </si>
  <si>
    <t xml:space="preserve">AC-NFR-03</t>
  </si>
  <si>
    <t xml:space="preserve">NFR-3</t>
  </si>
  <si>
    <t xml:space="preserve">A new librarian can learn the core tasks within 30 minutes.</t>
  </si>
  <si>
    <t xml:space="preserve">AC-NFR-04</t>
  </si>
  <si>
    <t xml:space="preserve">NFR-8</t>
  </si>
  <si>
    <t xml:space="preserve">SCHEMA.md and code comments document the system clearly.</t>
  </si>
  <si>
    <t xml:space="preserve">AC-DATA-01</t>
  </si>
  <si>
    <t xml:space="preserve">Database constraints stop negative stock, available above total, and duplicate ISBN, member code or email even if the frontend is bypassed.</t>
  </si>
  <si>
    <t xml:space="preserve">AC-DATA-02</t>
  </si>
  <si>
    <t xml:space="preserve">BR-11</t>
  </si>
  <si>
    <t xml:space="preserve">All dates use India time (Asia/Kolkata) and are compared as whole days.</t>
  </si>
  <si>
    <t xml:space="preserve">Type</t>
  </si>
  <si>
    <t xml:space="preserve">Priority</t>
  </si>
  <si>
    <t xml:space="preserve">Test case</t>
  </si>
  <si>
    <t xml:space="preserve">Steps / input</t>
  </si>
  <si>
    <t xml:space="preserve">Expected result</t>
  </si>
  <si>
    <t xml:space="preserve">Actual result</t>
  </si>
  <si>
    <t xml:space="preserve">Status</t>
  </si>
  <si>
    <t xml:space="preserve">Tested by</t>
  </si>
  <si>
    <t xml:space="preserve">Date</t>
  </si>
  <si>
    <t xml:space="preserve">Notes</t>
  </si>
  <si>
    <t xml:space="preserve">TC-AUTH-01</t>
  </si>
  <si>
    <t xml:space="preserve">Functional</t>
  </si>
  <si>
    <t xml:space="preserve">High</t>
  </si>
  <si>
    <t xml:space="preserve">Librarian logs in with valid credentials</t>
  </si>
  <si>
    <t xml:space="preserve">Open login page. Enter the librarian email and password. Click Log In.</t>
  </si>
  <si>
    <t xml:space="preserve">Librarian dashboard opens with all management menus.</t>
  </si>
  <si>
    <t xml:space="preserve">TC-AUTH-02</t>
  </si>
  <si>
    <t xml:space="preserve">Negative</t>
  </si>
  <si>
    <t xml:space="preserve">Login with wrong password</t>
  </si>
  <si>
    <t xml:space="preserve">Enter a valid email and a wrong password.</t>
  </si>
  <si>
    <t xml:space="preserve">Login rejected with a generic error. No dashboard access.</t>
  </si>
  <si>
    <t xml:space="preserve">TC-AUTH-03</t>
  </si>
  <si>
    <t xml:space="preserve">Medium</t>
  </si>
  <si>
    <t xml:space="preserve">Login with empty fields</t>
  </si>
  <si>
    <t xml:space="preserve">Leave email and password blank and click Log In.</t>
  </si>
  <si>
    <t xml:space="preserve">Validation message shown. No login attempt succeeds.</t>
  </si>
  <si>
    <t xml:space="preserve">TC-AUTH-04</t>
  </si>
  <si>
    <t xml:space="preserve">Student logs in with valid credentials</t>
  </si>
  <si>
    <t xml:space="preserve">Log in with a seeded student account.</t>
  </si>
  <si>
    <t xml:space="preserve">Student view opens (search and My account only). No librarian menus.</t>
  </si>
  <si>
    <t xml:space="preserve">TC-AUTH-05</t>
  </si>
  <si>
    <t xml:space="preserve">Security</t>
  </si>
  <si>
    <t xml:space="preserve">Open a dashboard URL without logging in</t>
  </si>
  <si>
    <t xml:space="preserve">Log out, then paste a dashboard or management URL in the browser.</t>
  </si>
  <si>
    <t xml:space="preserve">Redirected to the login page. No data shown.</t>
  </si>
  <si>
    <t xml:space="preserve">TC-AUTH-06</t>
  </si>
  <si>
    <t xml:space="preserve">Passwords are not stored as plain text</t>
  </si>
  <si>
    <t xml:space="preserve">Check the auth users and database in the Supabase dashboard.</t>
  </si>
  <si>
    <t xml:space="preserve">No readable passwords anywhere. Only hashes (handled by Supabase Auth).</t>
  </si>
  <si>
    <t xml:space="preserve">TC-AUTH-07</t>
  </si>
  <si>
    <t xml:space="preserve">Student first-time sign-up with a registered email</t>
  </si>
  <si>
    <t xml:space="preserve">Librarian registers a member email. Student signs up with that same email.</t>
  </si>
  <si>
    <t xml:space="preserve">Account created and linked to the member record. Student sees only their own data.</t>
  </si>
  <si>
    <t xml:space="preserve">TC-AUTH-08</t>
  </si>
  <si>
    <t xml:space="preserve">Sign-up with an email the librarian has not registered</t>
  </si>
  <si>
    <t xml:space="preserve">Try to sign up with an unregistered email.</t>
  </si>
  <si>
    <t xml:space="preserve">No access to any data. Clear message shown.</t>
  </si>
  <si>
    <t xml:space="preserve">TC-AUTH-09</t>
  </si>
  <si>
    <t xml:space="preserve">Student opens librarian pages by URL</t>
  </si>
  <si>
    <t xml:space="preserve">While logged in as a student, paste URLs of Issue, Return, Members, Fines pages.</t>
  </si>
  <si>
    <t xml:space="preserve">Blocked or redirected. No librarian data shown.</t>
  </si>
  <si>
    <t xml:space="preserve">TC-AUTH-10</t>
  </si>
  <si>
    <t xml:space="preserve">Student calls a librarian action directly</t>
  </si>
  <si>
    <t xml:space="preserve">As a student, call the issue/return/pay functions via the browser console or API tool.</t>
  </si>
  <si>
    <t xml:space="preserve">Rejected by the database. No data changed.</t>
  </si>
  <si>
    <t xml:space="preserve">TC-AUTH-11</t>
  </si>
  <si>
    <t xml:space="preserve">Student tries to read another member's records</t>
  </si>
  <si>
    <t xml:space="preserve">As a student, query transactions and fines of a different member through the API.</t>
  </si>
  <si>
    <t xml:space="preserve">Only the student's own rows are returned. Others' rows are not visible.</t>
  </si>
  <si>
    <t xml:space="preserve">TC-AUTH-12</t>
  </si>
  <si>
    <t xml:space="preserve">Logout ends the session</t>
  </si>
  <si>
    <t xml:space="preserve">Log out, then press the browser Back button.</t>
  </si>
  <si>
    <t xml:space="preserve">Protected pages do not show data. Login required again.</t>
  </si>
  <si>
    <t xml:space="preserve">TC-AUTH-13</t>
  </si>
  <si>
    <t xml:space="preserve">Service role key is not in frontend code</t>
  </si>
  <si>
    <t xml:space="preserve">Search the code and browser Sources/Network for service_role.</t>
  </si>
  <si>
    <t xml:space="preserve">Not found. Only the public anon key is used.</t>
  </si>
  <si>
    <t xml:space="preserve">TC-AUTH-14</t>
  </si>
  <si>
    <t xml:space="preserve">Row Level Security is enabled on every table</t>
  </si>
  <si>
    <t xml:space="preserve">In Supabase, check each table: authors, categories, books, members, profiles, transactions, fines.</t>
  </si>
  <si>
    <t xml:space="preserve">RLS is on for all tables, with policies defined.</t>
  </si>
  <si>
    <t xml:space="preserve">TC-CAT-01</t>
  </si>
  <si>
    <t xml:space="preserve">Add a book with all valid fields</t>
  </si>
  <si>
    <t xml:space="preserve">Fill title, ISBN, author, category, publisher, total copies = 3. Save.</t>
  </si>
  <si>
    <t xml:space="preserve">Book appears in the list. Available copies = 3.</t>
  </si>
  <si>
    <t xml:space="preserve">TC-CAT-02</t>
  </si>
  <si>
    <t xml:space="preserve">Add a book with a duplicate ISBN</t>
  </si>
  <si>
    <t xml:space="preserve">Add a second book using an existing ISBN.</t>
  </si>
  <si>
    <t xml:space="preserve">Rejected with a clear message. No duplicate created.</t>
  </si>
  <si>
    <t xml:space="preserve">TC-CAT-03</t>
  </si>
  <si>
    <t xml:space="preserve">Add a book with missing or invalid fields</t>
  </si>
  <si>
    <t xml:space="preserve">Leave title blank, or enter total copies = -1.</t>
  </si>
  <si>
    <t xml:space="preserve">Validation errors shown. Nothing saved.</t>
  </si>
  <si>
    <t xml:space="preserve">TC-CAT-04</t>
  </si>
  <si>
    <t xml:space="preserve">Edit a book</t>
  </si>
  <si>
    <t xml:space="preserve">Change a book's title and publisher. Save.</t>
  </si>
  <si>
    <t xml:space="preserve">Changes saved and shown in the list and search.</t>
  </si>
  <si>
    <t xml:space="preserve">TC-CAT-05</t>
  </si>
  <si>
    <t xml:space="preserve">Edge</t>
  </si>
  <si>
    <t xml:space="preserve">Reduce total copies below the number currently issued</t>
  </si>
  <si>
    <t xml:space="preserve">Book has 2 copies issued. Set total copies to 1.</t>
  </si>
  <si>
    <t xml:space="preserve">Rejected with a clear message.</t>
  </si>
  <si>
    <t xml:space="preserve">TC-CAT-06</t>
  </si>
  <si>
    <t xml:space="preserve">Increase total copies</t>
  </si>
  <si>
    <t xml:space="preserve">Increase total copies by 2.</t>
  </si>
  <si>
    <t xml:space="preserve">Available copies also increases by 2. Available never exceeds total.</t>
  </si>
  <si>
    <t xml:space="preserve">TC-CAT-07</t>
  </si>
  <si>
    <t xml:space="preserve">Delete a book with no transactions</t>
  </si>
  <si>
    <t xml:space="preserve">Delete a newly added book.</t>
  </si>
  <si>
    <t xml:space="preserve">Book removed from the list and search.</t>
  </si>
  <si>
    <t xml:space="preserve">TC-CAT-08</t>
  </si>
  <si>
    <t xml:space="preserve">Delete a book that has an active issue</t>
  </si>
  <si>
    <t xml:space="preserve">Try to delete a book currently issued to someone.</t>
  </si>
  <si>
    <t xml:space="preserve">Blocked with a clear message. Book remains.</t>
  </si>
  <si>
    <t xml:space="preserve">TC-CAT-09</t>
  </si>
  <si>
    <t xml:space="preserve">Add, edit and delete an author</t>
  </si>
  <si>
    <t xml:space="preserve">Create an author, rename it, then delete one with no books.</t>
  </si>
  <si>
    <t xml:space="preserve">Each action works and is reflected in the book forms.</t>
  </si>
  <si>
    <t xml:space="preserve">TC-CAT-10</t>
  </si>
  <si>
    <t xml:space="preserve">FR-1 / BR-8</t>
  </si>
  <si>
    <t xml:space="preserve">Delete an author or category that has books</t>
  </si>
  <si>
    <t xml:space="preserve">Try to delete an author or category linked to existing books.</t>
  </si>
  <si>
    <t xml:space="preserve">Blocked or handled safely with a message. No orphan books.</t>
  </si>
  <si>
    <t xml:space="preserve">TC-CAT-11</t>
  </si>
  <si>
    <t xml:space="preserve">Add a duplicate category name</t>
  </si>
  <si>
    <t xml:space="preserve">Create a category with an existing name.</t>
  </si>
  <si>
    <t xml:space="preserve">TC-CAT-12</t>
  </si>
  <si>
    <t xml:space="preserve">FR-1 / RLS</t>
  </si>
  <si>
    <t xml:space="preserve">Student cannot modify the catalogue</t>
  </si>
  <si>
    <t xml:space="preserve">As a student, try to add, edit or delete a book via UI and API.</t>
  </si>
  <si>
    <t xml:space="preserve">Not possible in UI. API calls are rejected.</t>
  </si>
  <si>
    <t xml:space="preserve">TC-MEM-01</t>
  </si>
  <si>
    <t xml:space="preserve">Register a member with valid details</t>
  </si>
  <si>
    <t xml:space="preserve">Enter name, email, phone, membership type. Register.</t>
  </si>
  <si>
    <t xml:space="preserve">Member created as Active with a unique member code.</t>
  </si>
  <si>
    <t xml:space="preserve">TC-MEM-02</t>
  </si>
  <si>
    <t xml:space="preserve">Register with missing name or invalid email</t>
  </si>
  <si>
    <t xml:space="preserve">Leave name blank, or enter an invalid email.</t>
  </si>
  <si>
    <t xml:space="preserve">Validation message. Nothing saved.</t>
  </si>
  <si>
    <t xml:space="preserve">TC-MEM-03</t>
  </si>
  <si>
    <t xml:space="preserve">Register with a duplicate email</t>
  </si>
  <si>
    <t xml:space="preserve">Use an email that already belongs to a member.</t>
  </si>
  <si>
    <t xml:space="preserve">TC-MEM-04</t>
  </si>
  <si>
    <t xml:space="preserve">Update member contact and membership type</t>
  </si>
  <si>
    <t xml:space="preserve">Edit phone and membership type. Save.</t>
  </si>
  <si>
    <t xml:space="preserve">Changes saved and visible on the member profile.</t>
  </si>
  <si>
    <t xml:space="preserve">TC-MEM-05</t>
  </si>
  <si>
    <t xml:space="preserve">FR-2 / FR-8</t>
  </si>
  <si>
    <t xml:space="preserve">Set a member to Inactive</t>
  </si>
  <si>
    <t xml:space="preserve">Change an Active member's status to Inactive.</t>
  </si>
  <si>
    <t xml:space="preserve">Status updates. Issuing to this member is now blocked (see Issue tests).</t>
  </si>
  <si>
    <t xml:space="preserve">TC-MEM-06</t>
  </si>
  <si>
    <t xml:space="preserve">Delete a member with an active issue</t>
  </si>
  <si>
    <t xml:space="preserve">Try to delete a member holding an issued book.</t>
  </si>
  <si>
    <t xml:space="preserve">Blocked with a clear message.</t>
  </si>
  <si>
    <t xml:space="preserve">TC-MEM-07</t>
  </si>
  <si>
    <t xml:space="preserve">Low</t>
  </si>
  <si>
    <t xml:space="preserve">Delete a member with no activity</t>
  </si>
  <si>
    <t xml:space="preserve">Delete a newly created member.</t>
  </si>
  <si>
    <t xml:space="preserve">Member removed.</t>
  </si>
  <si>
    <t xml:space="preserve">TC-MEM-08</t>
  </si>
  <si>
    <t xml:space="preserve">FR-2 / RLS</t>
  </si>
  <si>
    <t xml:space="preserve">Student cannot register or edit members</t>
  </si>
  <si>
    <t xml:space="preserve">As a student, try to register or edit a member via UI and API.</t>
  </si>
  <si>
    <t xml:space="preserve">Not possible. API calls are rejected.</t>
  </si>
  <si>
    <t xml:space="preserve">TC-SRCH-01</t>
  </si>
  <si>
    <t xml:space="preserve">Search by partial title</t>
  </si>
  <si>
    <t xml:space="preserve">Search for the first few letters of a known title.</t>
  </si>
  <si>
    <t xml:space="preserve">Matching books are listed.</t>
  </si>
  <si>
    <t xml:space="preserve">TC-SRCH-02</t>
  </si>
  <si>
    <t xml:space="preserve">Search by author name</t>
  </si>
  <si>
    <t xml:space="preserve">Search for an author's name.</t>
  </si>
  <si>
    <t xml:space="preserve">That author's books are listed.</t>
  </si>
  <si>
    <t xml:space="preserve">TC-SRCH-03</t>
  </si>
  <si>
    <t xml:space="preserve">Search by category</t>
  </si>
  <si>
    <t xml:space="preserve">Search for a category name.</t>
  </si>
  <si>
    <t xml:space="preserve">Books in that category are listed.</t>
  </si>
  <si>
    <t xml:space="preserve">TC-SRCH-04</t>
  </si>
  <si>
    <t xml:space="preserve">Search by full ISBN</t>
  </si>
  <si>
    <t xml:space="preserve">Enter a complete ISBN.</t>
  </si>
  <si>
    <t xml:space="preserve">The exact book is listed.</t>
  </si>
  <si>
    <t xml:space="preserve">TC-SRCH-05</t>
  </si>
  <si>
    <t xml:space="preserve">BR-9</t>
  </si>
  <si>
    <t xml:space="preserve">Search is case-insensitive</t>
  </si>
  <si>
    <t xml:space="preserve">Search 'PYTHON' and then 'python'.</t>
  </si>
  <si>
    <t xml:space="preserve">Both return identical results.</t>
  </si>
  <si>
    <t xml:space="preserve">TC-SRCH-06</t>
  </si>
  <si>
    <t xml:space="preserve">Search matches partial text inside words</t>
  </si>
  <si>
    <t xml:space="preserve">Search 'prog' for a book titled 'Programming ...'.</t>
  </si>
  <si>
    <t xml:space="preserve">Book is listed.</t>
  </si>
  <si>
    <t xml:space="preserve">TC-SRCH-07</t>
  </si>
  <si>
    <t xml:space="preserve">Search with no matches</t>
  </si>
  <si>
    <t xml:space="preserve">Search a nonsense string.</t>
  </si>
  <si>
    <t xml:space="preserve">Friendly 'No books found' message. No error.</t>
  </si>
  <si>
    <t xml:space="preserve">TC-SRCH-08</t>
  </si>
  <si>
    <t xml:space="preserve">Search with empty input</t>
  </si>
  <si>
    <t xml:space="preserve">Click Search with an empty box.</t>
  </si>
  <si>
    <t xml:space="preserve">Full catalogue is shown (or a clear prompt). No error.</t>
  </si>
  <si>
    <t xml:space="preserve">TC-SRCH-09</t>
  </si>
  <si>
    <t xml:space="preserve">Search with special characters</t>
  </si>
  <si>
    <t xml:space="preserve">Search %, _, a single quote, and ' OR 1=1 --.</t>
  </si>
  <si>
    <t xml:space="preserve">No error and no unintended results.</t>
  </si>
  <si>
    <t xml:space="preserve">TC-SRCH-10</t>
  </si>
  <si>
    <t xml:space="preserve">Availability matches real stock</t>
  </si>
  <si>
    <t xml:space="preserve">Compare displayed availability with available_copies in the database for several books.</t>
  </si>
  <si>
    <t xml:space="preserve">Status shown always matches the stored count.</t>
  </si>
  <si>
    <t xml:space="preserve">TC-SRCH-11</t>
  </si>
  <si>
    <t xml:space="preserve">Unavailable book shows earliest return date</t>
  </si>
  <si>
    <t xml:space="preserve">Book has 0 copies and two active issues with different due dates.</t>
  </si>
  <si>
    <t xml:space="preserve">Earliest due date is displayed.</t>
  </si>
  <si>
    <t xml:space="preserve">TC-SRCH-12</t>
  </si>
  <si>
    <t xml:space="preserve">Students can search too</t>
  </si>
  <si>
    <t xml:space="preserve">Log in as a student and run a search.</t>
  </si>
  <si>
    <t xml:space="preserve">Same results as the librarian sees, read-only.</t>
  </si>
  <si>
    <t xml:space="preserve">TC-ISS-01</t>
  </si>
  <si>
    <t xml:space="preserve">Issue an available book to an eligible member</t>
  </si>
  <si>
    <t xml:space="preserve">Book with copies &gt; 0. Member Active, no fines, fewer than 5 books. Confirm Issue.</t>
  </si>
  <si>
    <t xml:space="preserve">Transaction created and linked to the member. Status Issued.</t>
  </si>
  <si>
    <t xml:space="preserve">TC-ISS-02</t>
  </si>
  <si>
    <t xml:space="preserve">BR-1</t>
  </si>
  <si>
    <t xml:space="preserve">Due date is issue date + 14 days</t>
  </si>
  <si>
    <t xml:space="preserve">Issue a book and check the due date.</t>
  </si>
  <si>
    <t xml:space="preserve">Due date = issue date + 14 days.</t>
  </si>
  <si>
    <t xml:space="preserve">TC-ISS-03</t>
  </si>
  <si>
    <t xml:space="preserve">Stock decreases on issue</t>
  </si>
  <si>
    <t xml:space="preserve">Note available copies, issue the book, check again.</t>
  </si>
  <si>
    <t xml:space="preserve">Available copies reduced by exactly 1.</t>
  </si>
  <si>
    <t xml:space="preserve">TC-ISS-04</t>
  </si>
  <si>
    <t xml:space="preserve">FR-8 / BR-4</t>
  </si>
  <si>
    <t xml:space="preserve">Block issue when 0 copies are available</t>
  </si>
  <si>
    <t xml:space="preserve">Try to issue a book with 0 available copies.</t>
  </si>
  <si>
    <t xml:space="preserve">Blocked with a 'no copies available' message. Nothing changes.</t>
  </si>
  <si>
    <t xml:space="preserve">TC-ISS-05</t>
  </si>
  <si>
    <t xml:space="preserve">Block issue for an Inactive member</t>
  </si>
  <si>
    <t xml:space="preserve">Try to issue to an Inactive member.</t>
  </si>
  <si>
    <t xml:space="preserve">Blocked with a 'member not active' message.</t>
  </si>
  <si>
    <t xml:space="preserve">TC-ISS-06</t>
  </si>
  <si>
    <t xml:space="preserve">BR-4</t>
  </si>
  <si>
    <t xml:space="preserve">Block issue for a member with an unpaid fine</t>
  </si>
  <si>
    <t xml:space="preserve">Try to issue to a member with an Unpaid fine.</t>
  </si>
  <si>
    <t xml:space="preserve">Blocked with an 'unpaid fine' message.</t>
  </si>
  <si>
    <t xml:space="preserve">TC-ISS-07</t>
  </si>
  <si>
    <t xml:space="preserve">BR-3 / BR-4</t>
  </si>
  <si>
    <t xml:space="preserve">Block issue at the 5-book limit</t>
  </si>
  <si>
    <t xml:space="preserve">Member already has 5 issued books. Try to issue a 6th.</t>
  </si>
  <si>
    <t xml:space="preserve">Blocked with a 'limit reached' message.</t>
  </si>
  <si>
    <t xml:space="preserve">TC-ISS-08</t>
  </si>
  <si>
    <t xml:space="preserve">BR-3</t>
  </si>
  <si>
    <t xml:space="preserve">Boundary: 4th to 5th book succeeds, 6th fails</t>
  </si>
  <si>
    <t xml:space="preserve">Member has 4 books. Issue a 5th, then try a 6th.</t>
  </si>
  <si>
    <t xml:space="preserve">5th succeeds. 6th is blocked.</t>
  </si>
  <si>
    <t xml:space="preserve">TC-ISS-09</t>
  </si>
  <si>
    <t xml:space="preserve">Issue allowed again after paying a fine</t>
  </si>
  <si>
    <t xml:space="preserve">Pay the member's unpaid fine, then issue a book.</t>
  </si>
  <si>
    <t xml:space="preserve">Issue succeeds.</t>
  </si>
  <si>
    <t xml:space="preserve">TC-ISS-10</t>
  </si>
  <si>
    <t xml:space="preserve">Issue allowed again after returning a book at the limit</t>
  </si>
  <si>
    <t xml:space="preserve">Member at 5 books returns one, then a new book is issued.</t>
  </si>
  <si>
    <t xml:space="preserve">TC-ISS-11</t>
  </si>
  <si>
    <t xml:space="preserve">FR-3</t>
  </si>
  <si>
    <t xml:space="preserve">Unknown Book ID or Member ID</t>
  </si>
  <si>
    <t xml:space="preserve">Enter IDs that do not exist.</t>
  </si>
  <si>
    <t xml:space="preserve">Clear error. Nothing created.</t>
  </si>
  <si>
    <t xml:space="preserve">TC-ISS-12</t>
  </si>
  <si>
    <t xml:space="preserve">Blank fields on the issue form</t>
  </si>
  <si>
    <t xml:space="preserve">Click Check Availability or Confirm Issue with empty fields.</t>
  </si>
  <si>
    <t xml:space="preserve">Validation messages shown.</t>
  </si>
  <si>
    <t xml:space="preserve">TC-ISS-13</t>
  </si>
  <si>
    <t xml:space="preserve">FR-8</t>
  </si>
  <si>
    <t xml:space="preserve">Check Availability button</t>
  </si>
  <si>
    <t xml:space="preserve">Check a book with copies, then one with none.</t>
  </si>
  <si>
    <t xml:space="preserve">Shows Available or Unavailable correctly.</t>
  </si>
  <si>
    <t xml:space="preserve">TC-ISS-14</t>
  </si>
  <si>
    <t xml:space="preserve">Issue the last copy</t>
  </si>
  <si>
    <t xml:space="preserve">Book has exactly 1 copy. Issue it, then try again.</t>
  </si>
  <si>
    <t xml:space="preserve">First succeeds (available = 0). Second is blocked.</t>
  </si>
  <si>
    <t xml:space="preserve">TC-ISS-15</t>
  </si>
  <si>
    <t xml:space="preserve">Concurrency: two librarians issue the last copy together</t>
  </si>
  <si>
    <t xml:space="preserve">Open two sessions. Both try to issue the last copy at the same moment.</t>
  </si>
  <si>
    <t xml:space="preserve">Exactly one succeeds. Available never goes negative.</t>
  </si>
  <si>
    <t xml:space="preserve">TC-ISS-16</t>
  </si>
  <si>
    <t xml:space="preserve">Member blocked for several reasons at once</t>
  </si>
  <si>
    <t xml:space="preserve">Use an Inactive member who also has an unpaid fine.</t>
  </si>
  <si>
    <t xml:space="preserve">Blocked with a clear message (ideally listing all reasons).</t>
  </si>
  <si>
    <t xml:space="preserve">TC-ISS-17</t>
  </si>
  <si>
    <t xml:space="preserve">A blocked issue changes nothing</t>
  </si>
  <si>
    <t xml:space="preserve">After any blocked attempt, compare available copies and transaction count.</t>
  </si>
  <si>
    <t xml:space="preserve">No new transaction and stock unchanged.</t>
  </si>
  <si>
    <t xml:space="preserve">TC-ISS-18</t>
  </si>
  <si>
    <t xml:space="preserve">FR-3 / RLS</t>
  </si>
  <si>
    <t xml:space="preserve">Student cannot issue books</t>
  </si>
  <si>
    <t xml:space="preserve">As a student, call the issue function through the API.</t>
  </si>
  <si>
    <t xml:space="preserve">Rejected. No data changed.</t>
  </si>
  <si>
    <t xml:space="preserve">TC-RET-01</t>
  </si>
  <si>
    <t xml:space="preserve">Return a book before the due date</t>
  </si>
  <si>
    <t xml:space="preserve">Return an issued book with the return date earlier than the due date.</t>
  </si>
  <si>
    <t xml:space="preserve">Status Returned, return date set, no fine.</t>
  </si>
  <si>
    <t xml:space="preserve">TC-RET-02</t>
  </si>
  <si>
    <t xml:space="preserve">BR-2</t>
  </si>
  <si>
    <t xml:space="preserve">Return exactly on the due date</t>
  </si>
  <si>
    <t xml:space="preserve">Return on the due date.</t>
  </si>
  <si>
    <t xml:space="preserve">No fine (Rs 0). No fine record created.</t>
  </si>
  <si>
    <t xml:space="preserve">TC-RET-03</t>
  </si>
  <si>
    <t xml:space="preserve">Return 1 day late</t>
  </si>
  <si>
    <t xml:space="preserve">Use a test transaction due yesterday and return it today.</t>
  </si>
  <si>
    <t xml:space="preserve">Fine of Rs 5, days late = 1, status Unpaid.</t>
  </si>
  <si>
    <t xml:space="preserve">TC-RET-04</t>
  </si>
  <si>
    <t xml:space="preserve">Return 10 days late</t>
  </si>
  <si>
    <t xml:space="preserve">Use a transaction 10 days overdue.</t>
  </si>
  <si>
    <t xml:space="preserve">Fine of Rs 50.</t>
  </si>
  <si>
    <t xml:space="preserve">TC-RET-05</t>
  </si>
  <si>
    <t xml:space="preserve">Return 100 days late (no cap)</t>
  </si>
  <si>
    <t xml:space="preserve">Use a transaction 100 days overdue.</t>
  </si>
  <si>
    <t xml:space="preserve">Fine of Rs 500.</t>
  </si>
  <si>
    <t xml:space="preserve">TC-RET-06</t>
  </si>
  <si>
    <t xml:space="preserve">Stock increases on return</t>
  </si>
  <si>
    <t xml:space="preserve">Note available copies, return a book, check again.</t>
  </si>
  <si>
    <t xml:space="preserve">Available copies increased by exactly 1.</t>
  </si>
  <si>
    <t xml:space="preserve">TC-RET-07</t>
  </si>
  <si>
    <t xml:space="preserve">Available never exceeds total copies</t>
  </si>
  <si>
    <t xml:space="preserve">After returns, compare available and total for the book.</t>
  </si>
  <si>
    <t xml:space="preserve">Available is never greater than total.</t>
  </si>
  <si>
    <t xml:space="preserve">TC-RET-08</t>
  </si>
  <si>
    <t xml:space="preserve">Return an already returned transaction</t>
  </si>
  <si>
    <t xml:space="preserve">Try to return the same transaction twice.</t>
  </si>
  <si>
    <t xml:space="preserve">Rejected with a clear message. Stock not increased again.</t>
  </si>
  <si>
    <t xml:space="preserve">TC-RET-09</t>
  </si>
  <si>
    <t xml:space="preserve">Return a transaction that does not exist or is not issued</t>
  </si>
  <si>
    <t xml:space="preserve">Enter a wrong or unissued ID.</t>
  </si>
  <si>
    <t xml:space="preserve">Clear error. Nothing changes.</t>
  </si>
  <si>
    <t xml:space="preserve">TC-RET-10</t>
  </si>
  <si>
    <t xml:space="preserve">FR-5</t>
  </si>
  <si>
    <t xml:space="preserve">Fine record is linked correctly</t>
  </si>
  <si>
    <t xml:space="preserve">After a late return, open the fine record.</t>
  </si>
  <si>
    <t xml:space="preserve">Linked to the correct transaction and member.</t>
  </si>
  <si>
    <t xml:space="preserve">TC-RET-11</t>
  </si>
  <si>
    <t xml:space="preserve">FR-4 / RLS</t>
  </si>
  <si>
    <t xml:space="preserve">Student cannot record returns</t>
  </si>
  <si>
    <t xml:space="preserve">As a student, call the return function through the API.</t>
  </si>
  <si>
    <t xml:space="preserve">TC-FIN-01</t>
  </si>
  <si>
    <t xml:space="preserve">View unpaid fines</t>
  </si>
  <si>
    <t xml:space="preserve">Open the Fines page.</t>
  </si>
  <si>
    <t xml:space="preserve">Unpaid fines show member, book, days late and amount.</t>
  </si>
  <si>
    <t xml:space="preserve">TC-FIN-02</t>
  </si>
  <si>
    <t xml:space="preserve">Mark an unpaid fine as Paid</t>
  </si>
  <si>
    <t xml:space="preserve">Click Mark as Paid on an Unpaid fine.</t>
  </si>
  <si>
    <t xml:space="preserve">Status Paid, paid date set, collected by = librarian.</t>
  </si>
  <si>
    <t xml:space="preserve">TC-FIN-03</t>
  </si>
  <si>
    <t xml:space="preserve">Pay an already paid fine</t>
  </si>
  <si>
    <t xml:space="preserve">Try to pay the same fine again.</t>
  </si>
  <si>
    <t xml:space="preserve">Rejected or no change. No double payment recorded.</t>
  </si>
  <si>
    <t xml:space="preserve">TC-FIN-04</t>
  </si>
  <si>
    <t xml:space="preserve">No partial payment option</t>
  </si>
  <si>
    <t xml:space="preserve">Look at the payment screen.</t>
  </si>
  <si>
    <t xml:space="preserve">Only a full-amount payment is possible.</t>
  </si>
  <si>
    <t xml:space="preserve">TC-FIN-05</t>
  </si>
  <si>
    <t xml:space="preserve">Filter fines by Paid and Unpaid</t>
  </si>
  <si>
    <t xml:space="preserve">Switch the filter between Paid and Unpaid.</t>
  </si>
  <si>
    <t xml:space="preserve">Lists change correctly.</t>
  </si>
  <si>
    <t xml:space="preserve">TC-FIN-06</t>
  </si>
  <si>
    <t xml:space="preserve">BR-7 / RLS</t>
  </si>
  <si>
    <t xml:space="preserve">Student cannot mark fines Paid</t>
  </si>
  <si>
    <t xml:space="preserve">As a student, call the pay function through the API.</t>
  </si>
  <si>
    <t xml:space="preserve">Rejected. Fine unchanged.</t>
  </si>
  <si>
    <t xml:space="preserve">TC-FIN-07</t>
  </si>
  <si>
    <t xml:space="preserve">Paying clears the issue block</t>
  </si>
  <si>
    <t xml:space="preserve">Pay the member's last unpaid fine, then check the Issue screen.</t>
  </si>
  <si>
    <t xml:space="preserve">Member is no longer blocked for fines.</t>
  </si>
  <si>
    <t xml:space="preserve">TC-STU-01</t>
  </si>
  <si>
    <t xml:space="preserve">Student sees own issued books</t>
  </si>
  <si>
    <t xml:space="preserve">Log in as a student with active issues.</t>
  </si>
  <si>
    <t xml:space="preserve">Current books with due dates are shown.</t>
  </si>
  <si>
    <t xml:space="preserve">TC-STU-02</t>
  </si>
  <si>
    <t xml:space="preserve">Overdue books are highlighted</t>
  </si>
  <si>
    <t xml:space="preserve">Use a student with an overdue book.</t>
  </si>
  <si>
    <t xml:space="preserve">Overdue book clearly highlighted.</t>
  </si>
  <si>
    <t xml:space="preserve">TC-STU-03</t>
  </si>
  <si>
    <t xml:space="preserve">Student sees own fines and status</t>
  </si>
  <si>
    <t xml:space="preserve">Use a student with Paid and Unpaid fines.</t>
  </si>
  <si>
    <t xml:space="preserve">Both fines shown with correct status.</t>
  </si>
  <si>
    <t xml:space="preserve">TC-STU-04</t>
  </si>
  <si>
    <t xml:space="preserve">Student sees issue history</t>
  </si>
  <si>
    <t xml:space="preserve">Use a student with returned books.</t>
  </si>
  <si>
    <t xml:space="preserve">Past transactions listed with return dates.</t>
  </si>
  <si>
    <t xml:space="preserve">TC-STU-05</t>
  </si>
  <si>
    <t xml:space="preserve">Student with no activity</t>
  </si>
  <si>
    <t xml:space="preserve">Log in as a student with no issues or fines.</t>
  </si>
  <si>
    <t xml:space="preserve">Clear empty states. No errors.</t>
  </si>
  <si>
    <t xml:space="preserve">TC-STU-06</t>
  </si>
  <si>
    <t xml:space="preserve">Student view updates after librarian actions</t>
  </si>
  <si>
    <t xml:space="preserve">Librarian issues a book. Student refreshes.</t>
  </si>
  <si>
    <t xml:space="preserve">New book appears on the student's list.</t>
  </si>
  <si>
    <t xml:space="preserve">TC-SLIP-01</t>
  </si>
  <si>
    <t xml:space="preserve">Issue slip content</t>
  </si>
  <si>
    <t xml:space="preserve">Issue a book and view the slip.</t>
  </si>
  <si>
    <t xml:space="preserve">Shows member, book, issue date, due date and slip date.</t>
  </si>
  <si>
    <t xml:space="preserve">TC-SLIP-02</t>
  </si>
  <si>
    <t xml:space="preserve">Return slip content</t>
  </si>
  <si>
    <t xml:space="preserve">Return a late book and view the slip.</t>
  </si>
  <si>
    <t xml:space="preserve">Shows return date and fine details where applicable.</t>
  </si>
  <si>
    <t xml:space="preserve">TC-SLIP-03</t>
  </si>
  <si>
    <t xml:space="preserve">Fine payment slip content</t>
  </si>
  <si>
    <t xml:space="preserve">Pay a fine and view the slip.</t>
  </si>
  <si>
    <t xml:space="preserve">Shows member, amount, paid date.</t>
  </si>
  <si>
    <t xml:space="preserve">TC-SLIP-04</t>
  </si>
  <si>
    <t xml:space="preserve">Print and Save as PDF</t>
  </si>
  <si>
    <t xml:space="preserve">Click Print on a slip and choose Save as PDF.</t>
  </si>
  <si>
    <t xml:space="preserve">Slip prints cleanly without menus or buttons.</t>
  </si>
  <si>
    <t xml:space="preserve">TC-OFF-01</t>
  </si>
  <si>
    <t xml:space="preserve">Service worker registers on the deployed site</t>
  </si>
  <si>
    <t xml:space="preserve">Open the deployed HTTPS site and check DevTools &gt; Application.</t>
  </si>
  <si>
    <t xml:space="preserve">Service worker active. Catalogue cached.</t>
  </si>
  <si>
    <t xml:space="preserve">TC-OFF-02</t>
  </si>
  <si>
    <t xml:space="preserve">Catalogue search works offline</t>
  </si>
  <si>
    <t xml:space="preserve">Visit online once, switch to airplane mode, search.</t>
  </si>
  <si>
    <t xml:space="preserve">Search works using cached data.</t>
  </si>
  <si>
    <t xml:space="preserve">TC-OFF-03</t>
  </si>
  <si>
    <t xml:space="preserve">Offline banner with last-synced time</t>
  </si>
  <si>
    <t xml:space="preserve">Go offline and reload.</t>
  </si>
  <si>
    <t xml:space="preserve">Banner shows 'Offline: data last synced at [time]'.</t>
  </si>
  <si>
    <t xml:space="preserve">TC-OFF-04</t>
  </si>
  <si>
    <t xml:space="preserve">Write actions are disabled offline</t>
  </si>
  <si>
    <t xml:space="preserve">Offline, try issue, return, pay, add, edit, delete.</t>
  </si>
  <si>
    <t xml:space="preserve">All disabled with a clear message. Nothing queued.</t>
  </si>
  <si>
    <t xml:space="preserve">TC-OFF-05</t>
  </si>
  <si>
    <t xml:space="preserve">Reconnect restores normal operation</t>
  </si>
  <si>
    <t xml:space="preserve">Turn the connection back on.</t>
  </si>
  <si>
    <t xml:space="preserve">Banner disappears, data refreshes, writes work again.</t>
  </si>
  <si>
    <t xml:space="preserve">TC-OFF-06</t>
  </si>
  <si>
    <t xml:space="preserve">First visit while offline</t>
  </si>
  <si>
    <t xml:space="preserve">Open the site offline on a device that never loaded it.</t>
  </si>
  <si>
    <t xml:space="preserve">Friendly message. No crash.</t>
  </si>
  <si>
    <t xml:space="preserve">TC-OFF-07</t>
  </si>
  <si>
    <t xml:space="preserve">Stale data is labelled</t>
  </si>
  <si>
    <t xml:space="preserve">Another device issues a book. Check the offline device.</t>
  </si>
  <si>
    <t xml:space="preserve">Old availability shown with the last-synced label.</t>
  </si>
  <si>
    <t xml:space="preserve">TC-NFR-01</t>
  </si>
  <si>
    <t xml:space="preserve">Performance</t>
  </si>
  <si>
    <t xml:space="preserve">Search under 2 seconds</t>
  </si>
  <si>
    <t xml:space="preserve">Run 5 searches with seed data and time each (DevTools Network).</t>
  </si>
  <si>
    <t xml:space="preserve">Every search completes in under 2 seconds.</t>
  </si>
  <si>
    <t xml:space="preserve">TC-NFR-02</t>
  </si>
  <si>
    <t xml:space="preserve">Issue under 2 seconds</t>
  </si>
  <si>
    <t xml:space="preserve">Time 5 issue operations.</t>
  </si>
  <si>
    <t xml:space="preserve">Every issue completes in under 2 seconds.</t>
  </si>
  <si>
    <t xml:space="preserve">TC-NFR-03</t>
  </si>
  <si>
    <t xml:space="preserve">NFR-5</t>
  </si>
  <si>
    <t xml:space="preserve">Capacity: 50,000 books and 10,000 members</t>
  </si>
  <si>
    <t xml:space="preserve">Load dummy data with a script. Run searches and an issue.</t>
  </si>
  <si>
    <t xml:space="preserve">No noticeable slowdown. Searches still under 2 seconds.</t>
  </si>
  <si>
    <t xml:space="preserve">TC-NFR-04</t>
  </si>
  <si>
    <t xml:space="preserve">Compatibility</t>
  </si>
  <si>
    <t xml:space="preserve">Full workflow in Chrome</t>
  </si>
  <si>
    <t xml:space="preserve">Login, search, issue, return, pay fine.</t>
  </si>
  <si>
    <t xml:space="preserve">All steps work.</t>
  </si>
  <si>
    <t xml:space="preserve">TC-NFR-05</t>
  </si>
  <si>
    <t xml:space="preserve">Full workflow in Firefox</t>
  </si>
  <si>
    <t xml:space="preserve">Repeat the workflow.</t>
  </si>
  <si>
    <t xml:space="preserve">TC-NFR-06</t>
  </si>
  <si>
    <t xml:space="preserve">Full workflow in Safari</t>
  </si>
  <si>
    <t xml:space="preserve">TC-NFR-07</t>
  </si>
  <si>
    <t xml:space="preserve">Full workflow in Edge</t>
  </si>
  <si>
    <t xml:space="preserve">TC-NFR-08</t>
  </si>
  <si>
    <t xml:space="preserve">Usable at mobile width</t>
  </si>
  <si>
    <t xml:space="preserve">Open key screens on a phone or at 375 px width.</t>
  </si>
  <si>
    <t xml:space="preserve">No horizontal scrolling. Buttons and forms usable.</t>
  </si>
  <si>
    <t xml:space="preserve">TC-NFR-09</t>
  </si>
  <si>
    <t xml:space="preserve">Usability</t>
  </si>
  <si>
    <t xml:space="preserve">New user learns core tasks within 30 minutes</t>
  </si>
  <si>
    <t xml:space="preserve">Give a classmate a 10-minute walkthrough, then ask them to issue and return a book.</t>
  </si>
  <si>
    <t xml:space="preserve">Completes both without help. Note any confusion.</t>
  </si>
  <si>
    <t xml:space="preserve">TC-NFR-10</t>
  </si>
  <si>
    <t xml:space="preserve">Maintainability</t>
  </si>
  <si>
    <t xml:space="preserve">Documentation exists</t>
  </si>
  <si>
    <t xml:space="preserve">Open SCHEMA.md and skim the code.</t>
  </si>
  <si>
    <t xml:space="preserve">Every table, column and function described. Non-obvious logic commented.</t>
  </si>
  <si>
    <t xml:space="preserve">TC-NFR-11</t>
  </si>
  <si>
    <t xml:space="preserve">NFR-4 / NFR-6</t>
  </si>
  <si>
    <t xml:space="preserve">Documentation</t>
  </si>
  <si>
    <t xml:space="preserve">Backup and uptime documented</t>
  </si>
  <si>
    <t xml:space="preserve">Check the report and hosting plan.</t>
  </si>
  <si>
    <t xml:space="preserve">Daily backups and 99% uptime described as design targets, with plan limits noted. A manual export tested once.</t>
  </si>
  <si>
    <t xml:space="preserve">TC-NFR-12</t>
  </si>
  <si>
    <t xml:space="preserve">Indexes exist on search fields</t>
  </si>
  <si>
    <t xml:space="preserve">Check the schema for indexes on title, isbn, member_code.</t>
  </si>
  <si>
    <t xml:space="preserve">Indexes present.</t>
  </si>
  <si>
    <t xml:space="preserve">TC-DATA-01</t>
  </si>
  <si>
    <t xml:space="preserve">Negative stock rejected by the database</t>
  </si>
  <si>
    <t xml:space="preserve">Directly try to set available_copies = -1 via the API.</t>
  </si>
  <si>
    <t xml:space="preserve">Rejected by a constraint.</t>
  </si>
  <si>
    <t xml:space="preserve">TC-DATA-02</t>
  </si>
  <si>
    <t xml:space="preserve">Available above total rejected</t>
  </si>
  <si>
    <t xml:space="preserve">Directly set available_copies greater than total_copies.</t>
  </si>
  <si>
    <t xml:space="preserve">TC-DATA-03</t>
  </si>
  <si>
    <t xml:space="preserve">Duplicate unique values rejected at database level</t>
  </si>
  <si>
    <t xml:space="preserve">Directly insert a duplicate ISBN, member code or email.</t>
  </si>
  <si>
    <t xml:space="preserve">Rejected by a unique constraint.</t>
  </si>
  <si>
    <t xml:space="preserve">TC-DATA-04</t>
  </si>
  <si>
    <t xml:space="preserve">Dates use India time</t>
  </si>
  <si>
    <t xml:space="preserve">Issue a book between 00:00 and 05:30 IST, or review the function code.</t>
  </si>
  <si>
    <t xml:space="preserve">Issue date matches the India date, not the previous day.</t>
  </si>
  <si>
    <t xml:space="preserve">TC-DATA-05</t>
  </si>
  <si>
    <t xml:space="preserve">Due date across month and year end</t>
  </si>
  <si>
    <t xml:space="preserve">Issue a book on 25 December.</t>
  </si>
  <si>
    <t xml:space="preserve">Due date is 8 January of the next year.</t>
  </si>
  <si>
    <t xml:space="preserve">TC-DATA-06</t>
  </si>
  <si>
    <t xml:space="preserve">Referential integrity</t>
  </si>
  <si>
    <t xml:space="preserve">Try to delete a record that other rows depend on.</t>
  </si>
  <si>
    <t xml:space="preserve">Blocked or handled safely. No orphan records.</t>
  </si>
  <si>
    <t xml:space="preserve">TC-DATA-07</t>
  </si>
  <si>
    <t xml:space="preserve">Seed</t>
  </si>
  <si>
    <t xml:space="preserve">Seed script runs cleanly</t>
  </si>
  <si>
    <t xml:space="preserve">Run the SQL seed on an empty database.</t>
  </si>
  <si>
    <t xml:space="preserve">No errors. Data matches the brief (about 30 books, 10 members, overdue and fines).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</si>
</sst>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%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2F5FA"/>
        <bgColor rgb="FFFFFFFF"/>
      </patternFill>
    </fill>
    <fill>
      <patternFill patternType="solid">
        <fgColor rgb="FFFFF8DC"/>
        <bgColor rgb="FFF2F5F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1F3864"/>
          <bgColor rgb="FF000000"/>
        </patternFill>
      </fill>
    </dxf>
    <dxf>
      <fill>
        <patternFill patternType="solid">
          <fgColor rgb="FFF2F5F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8DC"/>
          <bgColor rgb="FF000000"/>
        </patternFill>
      </fill>
    </dxf>
    <dxf>
      <font>
        <name val="Arial"/>
        <charset val="1"/>
        <family val="0"/>
        <color rgb="FF006100"/>
      </font>
      <fill>
        <patternFill>
          <bgColor rgb="FFC6EFCE"/>
        </patternFill>
      </fill>
    </dxf>
    <dxf>
      <font>
        <name val="Arial"/>
        <charset val="1"/>
        <family val="0"/>
        <color rgb="FF9C0006"/>
      </font>
      <fill>
        <patternFill>
          <bgColor rgb="FFFFC7CE"/>
        </patternFill>
      </fill>
    </dxf>
    <dxf>
      <font>
        <name val="Arial"/>
        <charset val="1"/>
        <family val="0"/>
        <color rgb="FF9C5700"/>
      </font>
      <fill>
        <patternFill>
          <bgColor rgb="FFFFEB9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8DC"/>
      <rgbColor rgb="FFF2F5FA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C57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/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2" t="s">
        <v>3</v>
      </c>
    </row>
    <row r="6" customFormat="false" ht="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 t="s">
        <v>5</v>
      </c>
    </row>
    <row r="8" customFormat="false" ht="23.85" hidden="false" customHeight="false" outlineLevel="0" collapsed="false">
      <c r="A8" s="2" t="s">
        <v>6</v>
      </c>
    </row>
    <row r="9" customFormat="false" ht="15" hidden="false" customHeight="false" outlineLevel="0" collapsed="false">
      <c r="A9" s="2"/>
    </row>
    <row r="10" customFormat="false" ht="15" hidden="false" customHeight="false" outlineLevel="0" collapsed="false">
      <c r="A10" s="3" t="s">
        <v>7</v>
      </c>
    </row>
    <row r="11" customFormat="false" ht="23.85" hidden="false" customHeight="false" outlineLevel="0" collapsed="false">
      <c r="A11" s="2" t="s">
        <v>8</v>
      </c>
    </row>
    <row r="12" customFormat="false" ht="15" hidden="false" customHeight="false" outlineLevel="0" collapsed="false">
      <c r="A12" s="2"/>
    </row>
    <row r="13" customFormat="false" ht="15" hidden="false" customHeight="false" outlineLevel="0" collapsed="false">
      <c r="A13" s="3" t="s">
        <v>9</v>
      </c>
    </row>
    <row r="14" customFormat="false" ht="23.85" hidden="false" customHeight="false" outlineLevel="0" collapsed="false">
      <c r="A14" s="2" t="s">
        <v>10</v>
      </c>
    </row>
    <row r="15" customFormat="false" ht="23.85" hidden="false" customHeight="false" outlineLevel="0" collapsed="false">
      <c r="A15" s="2" t="s">
        <v>11</v>
      </c>
    </row>
    <row r="16" customFormat="false" ht="15" hidden="false" customHeight="false" outlineLevel="0" collapsed="false">
      <c r="A16" s="2" t="s">
        <v>12</v>
      </c>
    </row>
    <row r="17" customFormat="false" ht="15" hidden="false" customHeight="false" outlineLevel="0" collapsed="false">
      <c r="A17" s="2" t="s">
        <v>13</v>
      </c>
    </row>
    <row r="18" customFormat="false" ht="15" hidden="false" customHeight="false" outlineLevel="0" collapsed="false">
      <c r="A18" s="2" t="s">
        <v>14</v>
      </c>
    </row>
    <row r="19" customFormat="false" ht="23.85" hidden="false" customHeight="false" outlineLevel="0" collapsed="false">
      <c r="A19" s="2" t="s">
        <v>15</v>
      </c>
    </row>
    <row r="20" customFormat="false" ht="15" hidden="false" customHeight="false" outlineLevel="0" collapsed="false">
      <c r="A20" s="2"/>
    </row>
    <row r="21" customFormat="false" ht="15" hidden="false" customHeight="false" outlineLevel="0" collapsed="false">
      <c r="A21" s="3" t="s">
        <v>16</v>
      </c>
    </row>
    <row r="22" customFormat="false" ht="15" hidden="false" customHeight="false" outlineLevel="0" collapsed="false">
      <c r="A22" s="2" t="s">
        <v>17</v>
      </c>
    </row>
    <row r="23" customFormat="false" ht="15" hidden="false" customHeight="false" outlineLevel="0" collapsed="false">
      <c r="A23" s="2" t="s">
        <v>18</v>
      </c>
    </row>
    <row r="24" customFormat="false" ht="15" hidden="false" customHeight="false" outlineLevel="0" collapsed="false">
      <c r="A24" s="2" t="s">
        <v>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7" min="2" style="0" width="11"/>
  </cols>
  <sheetData>
    <row r="1" customFormat="false" ht="17.35" hidden="false" customHeight="false" outlineLevel="0" collapsed="false">
      <c r="A1" s="4" t="s">
        <v>20</v>
      </c>
    </row>
    <row r="3" customFormat="false" ht="15" hidden="false" customHeight="false" outlineLevel="0" collapsed="false">
      <c r="A3" s="5" t="s">
        <v>21</v>
      </c>
      <c r="B3" s="5" t="s">
        <v>22</v>
      </c>
      <c r="C3" s="5" t="s">
        <v>23</v>
      </c>
      <c r="D3" s="5" t="s">
        <v>24</v>
      </c>
      <c r="E3" s="5" t="s">
        <v>25</v>
      </c>
      <c r="F3" s="5" t="s">
        <v>26</v>
      </c>
      <c r="G3" s="5" t="s">
        <v>27</v>
      </c>
    </row>
    <row r="4" customFormat="false" ht="15" hidden="false" customHeight="false" outlineLevel="0" collapsed="false">
      <c r="A4" s="6" t="s">
        <v>28</v>
      </c>
      <c r="B4" s="7" t="n">
        <f aca="false">COUNTIF('Test Cases'!$B$2:$B$119,A4)</f>
        <v>14</v>
      </c>
      <c r="C4" s="7" t="n">
        <f aca="false">COUNTIFS('Test Cases'!$B$2:$B$119,$A4,'Test Cases'!$J$2:$J$119,"Pass")</f>
        <v>0</v>
      </c>
      <c r="D4" s="7" t="n">
        <f aca="false">COUNTIFS('Test Cases'!$B$2:$B$119,$A4,'Test Cases'!$J$2:$J$119,"Fail")</f>
        <v>0</v>
      </c>
      <c r="E4" s="7" t="n">
        <f aca="false">COUNTIFS('Test Cases'!$B$2:$B$119,$A4,'Test Cases'!$J$2:$J$119,"Blocked")</f>
        <v>0</v>
      </c>
      <c r="F4" s="7" t="n">
        <f aca="false">COUNTIFS('Test Cases'!$B$2:$B$119,$A4,'Test Cases'!$J$2:$J$119,"Not run")</f>
        <v>14</v>
      </c>
      <c r="G4" s="8" t="n">
        <f aca="false">IF(B4=0,0,C4/B4)</f>
        <v>0</v>
      </c>
    </row>
    <row r="5" customFormat="false" ht="15" hidden="false" customHeight="false" outlineLevel="0" collapsed="false">
      <c r="A5" s="6" t="s">
        <v>29</v>
      </c>
      <c r="B5" s="7" t="n">
        <f aca="false">COUNTIF('Test Cases'!$B$2:$B$119,A5)</f>
        <v>12</v>
      </c>
      <c r="C5" s="7" t="n">
        <f aca="false">COUNTIFS('Test Cases'!$B$2:$B$119,$A5,'Test Cases'!$J$2:$J$119,"Pass")</f>
        <v>0</v>
      </c>
      <c r="D5" s="7" t="n">
        <f aca="false">COUNTIFS('Test Cases'!$B$2:$B$119,$A5,'Test Cases'!$J$2:$J$119,"Fail")</f>
        <v>0</v>
      </c>
      <c r="E5" s="7" t="n">
        <f aca="false">COUNTIFS('Test Cases'!$B$2:$B$119,$A5,'Test Cases'!$J$2:$J$119,"Blocked")</f>
        <v>0</v>
      </c>
      <c r="F5" s="7" t="n">
        <f aca="false">COUNTIFS('Test Cases'!$B$2:$B$119,$A5,'Test Cases'!$J$2:$J$119,"Not run")</f>
        <v>12</v>
      </c>
      <c r="G5" s="8" t="n">
        <f aca="false">IF(B5=0,0,C5/B5)</f>
        <v>0</v>
      </c>
    </row>
    <row r="6" customFormat="false" ht="15" hidden="false" customHeight="false" outlineLevel="0" collapsed="false">
      <c r="A6" s="6" t="s">
        <v>30</v>
      </c>
      <c r="B6" s="7" t="n">
        <f aca="false">COUNTIF('Test Cases'!$B$2:$B$119,A6)</f>
        <v>8</v>
      </c>
      <c r="C6" s="7" t="n">
        <f aca="false">COUNTIFS('Test Cases'!$B$2:$B$119,$A6,'Test Cases'!$J$2:$J$119,"Pass")</f>
        <v>0</v>
      </c>
      <c r="D6" s="7" t="n">
        <f aca="false">COUNTIFS('Test Cases'!$B$2:$B$119,$A6,'Test Cases'!$J$2:$J$119,"Fail")</f>
        <v>0</v>
      </c>
      <c r="E6" s="7" t="n">
        <f aca="false">COUNTIFS('Test Cases'!$B$2:$B$119,$A6,'Test Cases'!$J$2:$J$119,"Blocked")</f>
        <v>0</v>
      </c>
      <c r="F6" s="7" t="n">
        <f aca="false">COUNTIFS('Test Cases'!$B$2:$B$119,$A6,'Test Cases'!$J$2:$J$119,"Not run")</f>
        <v>8</v>
      </c>
      <c r="G6" s="8" t="n">
        <f aca="false">IF(B6=0,0,C6/B6)</f>
        <v>0</v>
      </c>
    </row>
    <row r="7" customFormat="false" ht="15" hidden="false" customHeight="false" outlineLevel="0" collapsed="false">
      <c r="A7" s="6" t="s">
        <v>31</v>
      </c>
      <c r="B7" s="7" t="n">
        <f aca="false">COUNTIF('Test Cases'!$B$2:$B$119,A7)</f>
        <v>12</v>
      </c>
      <c r="C7" s="7" t="n">
        <f aca="false">COUNTIFS('Test Cases'!$B$2:$B$119,$A7,'Test Cases'!$J$2:$J$119,"Pass")</f>
        <v>0</v>
      </c>
      <c r="D7" s="7" t="n">
        <f aca="false">COUNTIFS('Test Cases'!$B$2:$B$119,$A7,'Test Cases'!$J$2:$J$119,"Fail")</f>
        <v>0</v>
      </c>
      <c r="E7" s="7" t="n">
        <f aca="false">COUNTIFS('Test Cases'!$B$2:$B$119,$A7,'Test Cases'!$J$2:$J$119,"Blocked")</f>
        <v>0</v>
      </c>
      <c r="F7" s="7" t="n">
        <f aca="false">COUNTIFS('Test Cases'!$B$2:$B$119,$A7,'Test Cases'!$J$2:$J$119,"Not run")</f>
        <v>12</v>
      </c>
      <c r="G7" s="8" t="n">
        <f aca="false">IF(B7=0,0,C7/B7)</f>
        <v>0</v>
      </c>
    </row>
    <row r="8" customFormat="false" ht="15" hidden="false" customHeight="false" outlineLevel="0" collapsed="false">
      <c r="A8" s="6" t="s">
        <v>32</v>
      </c>
      <c r="B8" s="7" t="n">
        <f aca="false">COUNTIF('Test Cases'!$B$2:$B$119,A8)</f>
        <v>18</v>
      </c>
      <c r="C8" s="7" t="n">
        <f aca="false">COUNTIFS('Test Cases'!$B$2:$B$119,$A8,'Test Cases'!$J$2:$J$119,"Pass")</f>
        <v>0</v>
      </c>
      <c r="D8" s="7" t="n">
        <f aca="false">COUNTIFS('Test Cases'!$B$2:$B$119,$A8,'Test Cases'!$J$2:$J$119,"Fail")</f>
        <v>0</v>
      </c>
      <c r="E8" s="7" t="n">
        <f aca="false">COUNTIFS('Test Cases'!$B$2:$B$119,$A8,'Test Cases'!$J$2:$J$119,"Blocked")</f>
        <v>0</v>
      </c>
      <c r="F8" s="7" t="n">
        <f aca="false">COUNTIFS('Test Cases'!$B$2:$B$119,$A8,'Test Cases'!$J$2:$J$119,"Not run")</f>
        <v>18</v>
      </c>
      <c r="G8" s="8" t="n">
        <f aca="false">IF(B8=0,0,C8/B8)</f>
        <v>0</v>
      </c>
    </row>
    <row r="9" customFormat="false" ht="15" hidden="false" customHeight="false" outlineLevel="0" collapsed="false">
      <c r="A9" s="6" t="s">
        <v>33</v>
      </c>
      <c r="B9" s="7" t="n">
        <f aca="false">COUNTIF('Test Cases'!$B$2:$B$119,A9)</f>
        <v>11</v>
      </c>
      <c r="C9" s="7" t="n">
        <f aca="false">COUNTIFS('Test Cases'!$B$2:$B$119,$A9,'Test Cases'!$J$2:$J$119,"Pass")</f>
        <v>0</v>
      </c>
      <c r="D9" s="7" t="n">
        <f aca="false">COUNTIFS('Test Cases'!$B$2:$B$119,$A9,'Test Cases'!$J$2:$J$119,"Fail")</f>
        <v>0</v>
      </c>
      <c r="E9" s="7" t="n">
        <f aca="false">COUNTIFS('Test Cases'!$B$2:$B$119,$A9,'Test Cases'!$J$2:$J$119,"Blocked")</f>
        <v>0</v>
      </c>
      <c r="F9" s="7" t="n">
        <f aca="false">COUNTIFS('Test Cases'!$B$2:$B$119,$A9,'Test Cases'!$J$2:$J$119,"Not run")</f>
        <v>11</v>
      </c>
      <c r="G9" s="8" t="n">
        <f aca="false">IF(B9=0,0,C9/B9)</f>
        <v>0</v>
      </c>
    </row>
    <row r="10" customFormat="false" ht="15" hidden="false" customHeight="false" outlineLevel="0" collapsed="false">
      <c r="A10" s="6" t="s">
        <v>34</v>
      </c>
      <c r="B10" s="7" t="n">
        <f aca="false">COUNTIF('Test Cases'!$B$2:$B$119,A10)</f>
        <v>7</v>
      </c>
      <c r="C10" s="7" t="n">
        <f aca="false">COUNTIFS('Test Cases'!$B$2:$B$119,$A10,'Test Cases'!$J$2:$J$119,"Pass")</f>
        <v>0</v>
      </c>
      <c r="D10" s="7" t="n">
        <f aca="false">COUNTIFS('Test Cases'!$B$2:$B$119,$A10,'Test Cases'!$J$2:$J$119,"Fail")</f>
        <v>0</v>
      </c>
      <c r="E10" s="7" t="n">
        <f aca="false">COUNTIFS('Test Cases'!$B$2:$B$119,$A10,'Test Cases'!$J$2:$J$119,"Blocked")</f>
        <v>0</v>
      </c>
      <c r="F10" s="7" t="n">
        <f aca="false">COUNTIFS('Test Cases'!$B$2:$B$119,$A10,'Test Cases'!$J$2:$J$119,"Not run")</f>
        <v>7</v>
      </c>
      <c r="G10" s="8" t="n">
        <f aca="false">IF(B10=0,0,C10/B10)</f>
        <v>0</v>
      </c>
    </row>
    <row r="11" customFormat="false" ht="15" hidden="false" customHeight="false" outlineLevel="0" collapsed="false">
      <c r="A11" s="6" t="s">
        <v>35</v>
      </c>
      <c r="B11" s="7" t="n">
        <f aca="false">COUNTIF('Test Cases'!$B$2:$B$119,A11)</f>
        <v>6</v>
      </c>
      <c r="C11" s="7" t="n">
        <f aca="false">COUNTIFS('Test Cases'!$B$2:$B$119,$A11,'Test Cases'!$J$2:$J$119,"Pass")</f>
        <v>0</v>
      </c>
      <c r="D11" s="7" t="n">
        <f aca="false">COUNTIFS('Test Cases'!$B$2:$B$119,$A11,'Test Cases'!$J$2:$J$119,"Fail")</f>
        <v>0</v>
      </c>
      <c r="E11" s="7" t="n">
        <f aca="false">COUNTIFS('Test Cases'!$B$2:$B$119,$A11,'Test Cases'!$J$2:$J$119,"Blocked")</f>
        <v>0</v>
      </c>
      <c r="F11" s="7" t="n">
        <f aca="false">COUNTIFS('Test Cases'!$B$2:$B$119,$A11,'Test Cases'!$J$2:$J$119,"Not run")</f>
        <v>6</v>
      </c>
      <c r="G11" s="8" t="n">
        <f aca="false">IF(B11=0,0,C11/B11)</f>
        <v>0</v>
      </c>
    </row>
    <row r="12" customFormat="false" ht="15" hidden="false" customHeight="false" outlineLevel="0" collapsed="false">
      <c r="A12" s="6" t="s">
        <v>36</v>
      </c>
      <c r="B12" s="7" t="n">
        <f aca="false">COUNTIF('Test Cases'!$B$2:$B$119,A12)</f>
        <v>4</v>
      </c>
      <c r="C12" s="7" t="n">
        <f aca="false">COUNTIFS('Test Cases'!$B$2:$B$119,$A12,'Test Cases'!$J$2:$J$119,"Pass")</f>
        <v>0</v>
      </c>
      <c r="D12" s="7" t="n">
        <f aca="false">COUNTIFS('Test Cases'!$B$2:$B$119,$A12,'Test Cases'!$J$2:$J$119,"Fail")</f>
        <v>0</v>
      </c>
      <c r="E12" s="7" t="n">
        <f aca="false">COUNTIFS('Test Cases'!$B$2:$B$119,$A12,'Test Cases'!$J$2:$J$119,"Blocked")</f>
        <v>0</v>
      </c>
      <c r="F12" s="7" t="n">
        <f aca="false">COUNTIFS('Test Cases'!$B$2:$B$119,$A12,'Test Cases'!$J$2:$J$119,"Not run")</f>
        <v>4</v>
      </c>
      <c r="G12" s="8" t="n">
        <f aca="false">IF(B12=0,0,C12/B12)</f>
        <v>0</v>
      </c>
    </row>
    <row r="13" customFormat="false" ht="15" hidden="false" customHeight="false" outlineLevel="0" collapsed="false">
      <c r="A13" s="6" t="s">
        <v>37</v>
      </c>
      <c r="B13" s="7" t="n">
        <f aca="false">COUNTIF('Test Cases'!$B$2:$B$119,A13)</f>
        <v>7</v>
      </c>
      <c r="C13" s="7" t="n">
        <f aca="false">COUNTIFS('Test Cases'!$B$2:$B$119,$A13,'Test Cases'!$J$2:$J$119,"Pass")</f>
        <v>0</v>
      </c>
      <c r="D13" s="7" t="n">
        <f aca="false">COUNTIFS('Test Cases'!$B$2:$B$119,$A13,'Test Cases'!$J$2:$J$119,"Fail")</f>
        <v>0</v>
      </c>
      <c r="E13" s="7" t="n">
        <f aca="false">COUNTIFS('Test Cases'!$B$2:$B$119,$A13,'Test Cases'!$J$2:$J$119,"Blocked")</f>
        <v>0</v>
      </c>
      <c r="F13" s="7" t="n">
        <f aca="false">COUNTIFS('Test Cases'!$B$2:$B$119,$A13,'Test Cases'!$J$2:$J$119,"Not run")</f>
        <v>7</v>
      </c>
      <c r="G13" s="8" t="n">
        <f aca="false">IF(B13=0,0,C13/B13)</f>
        <v>0</v>
      </c>
    </row>
    <row r="14" customFormat="false" ht="15" hidden="false" customHeight="false" outlineLevel="0" collapsed="false">
      <c r="A14" s="6" t="s">
        <v>38</v>
      </c>
      <c r="B14" s="7" t="n">
        <f aca="false">COUNTIF('Test Cases'!$B$2:$B$119,A14)</f>
        <v>12</v>
      </c>
      <c r="C14" s="7" t="n">
        <f aca="false">COUNTIFS('Test Cases'!$B$2:$B$119,$A14,'Test Cases'!$J$2:$J$119,"Pass")</f>
        <v>0</v>
      </c>
      <c r="D14" s="7" t="n">
        <f aca="false">COUNTIFS('Test Cases'!$B$2:$B$119,$A14,'Test Cases'!$J$2:$J$119,"Fail")</f>
        <v>0</v>
      </c>
      <c r="E14" s="7" t="n">
        <f aca="false">COUNTIFS('Test Cases'!$B$2:$B$119,$A14,'Test Cases'!$J$2:$J$119,"Blocked")</f>
        <v>0</v>
      </c>
      <c r="F14" s="7" t="n">
        <f aca="false">COUNTIFS('Test Cases'!$B$2:$B$119,$A14,'Test Cases'!$J$2:$J$119,"Not run")</f>
        <v>12</v>
      </c>
      <c r="G14" s="8" t="n">
        <f aca="false">IF(B14=0,0,C14/B14)</f>
        <v>0</v>
      </c>
    </row>
    <row r="15" customFormat="false" ht="15" hidden="false" customHeight="false" outlineLevel="0" collapsed="false">
      <c r="A15" s="6" t="s">
        <v>39</v>
      </c>
      <c r="B15" s="7" t="n">
        <f aca="false">COUNTIF('Test Cases'!$B$2:$B$119,A15)</f>
        <v>7</v>
      </c>
      <c r="C15" s="7" t="n">
        <f aca="false">COUNTIFS('Test Cases'!$B$2:$B$119,$A15,'Test Cases'!$J$2:$J$119,"Pass")</f>
        <v>0</v>
      </c>
      <c r="D15" s="7" t="n">
        <f aca="false">COUNTIFS('Test Cases'!$B$2:$B$119,$A15,'Test Cases'!$J$2:$J$119,"Fail")</f>
        <v>0</v>
      </c>
      <c r="E15" s="7" t="n">
        <f aca="false">COUNTIFS('Test Cases'!$B$2:$B$119,$A15,'Test Cases'!$J$2:$J$119,"Blocked")</f>
        <v>0</v>
      </c>
      <c r="F15" s="7" t="n">
        <f aca="false">COUNTIFS('Test Cases'!$B$2:$B$119,$A15,'Test Cases'!$J$2:$J$119,"Not run")</f>
        <v>7</v>
      </c>
      <c r="G15" s="8" t="n">
        <f aca="false">IF(B15=0,0,C15/B15)</f>
        <v>0</v>
      </c>
    </row>
    <row r="16" customFormat="false" ht="15" hidden="false" customHeight="false" outlineLevel="0" collapsed="false">
      <c r="A16" s="9" t="s">
        <v>22</v>
      </c>
      <c r="B16" s="10" t="n">
        <f aca="false">SUM(B4:B15)</f>
        <v>118</v>
      </c>
      <c r="C16" s="10" t="n">
        <f aca="false">SUM(C4:C15)</f>
        <v>0</v>
      </c>
      <c r="D16" s="10" t="n">
        <f aca="false">SUM(D4:D15)</f>
        <v>0</v>
      </c>
      <c r="E16" s="10" t="n">
        <f aca="false">SUM(E4:E15)</f>
        <v>0</v>
      </c>
      <c r="F16" s="10" t="n">
        <f aca="false">SUM(F4:F15)</f>
        <v>118</v>
      </c>
      <c r="G16" s="11" t="n">
        <f aca="false">IF(B16=0,0,C16/B16)</f>
        <v>0</v>
      </c>
    </row>
    <row r="18" customFormat="false" ht="15" hidden="false" customHeight="false" outlineLevel="0" collapsed="false">
      <c r="A18" s="12" t="s">
        <v>40</v>
      </c>
      <c r="B18" s="13" t="n">
        <f aca="false">COUNTIFS('Test Cases'!$E$2:$E$119,"High",'Test Cases'!$J$2:$J$119,"&lt;&gt;Pass")</f>
        <v>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6"/>
    <col collapsed="false" customWidth="true" hidden="false" outlineLevel="0" max="3" min="3" style="0" width="20"/>
    <col collapsed="false" customWidth="true" hidden="false" outlineLevel="0" max="4" min="4" style="0" width="95"/>
  </cols>
  <sheetData>
    <row r="1" customFormat="false" ht="15" hidden="false" customHeight="false" outlineLevel="0" collapsed="false">
      <c r="A1" s="5" t="s">
        <v>41</v>
      </c>
      <c r="B1" s="5" t="s">
        <v>21</v>
      </c>
      <c r="C1" s="5" t="s">
        <v>42</v>
      </c>
      <c r="D1" s="5" t="s">
        <v>43</v>
      </c>
    </row>
    <row r="2" customFormat="false" ht="15" hidden="false" customHeight="false" outlineLevel="0" collapsed="false">
      <c r="A2" s="14" t="s">
        <v>44</v>
      </c>
      <c r="B2" s="14" t="s">
        <v>28</v>
      </c>
      <c r="C2" s="14" t="s">
        <v>45</v>
      </c>
      <c r="D2" s="14" t="s">
        <v>46</v>
      </c>
    </row>
    <row r="3" customFormat="false" ht="15" hidden="false" customHeight="false" outlineLevel="0" collapsed="false">
      <c r="A3" s="15" t="s">
        <v>47</v>
      </c>
      <c r="B3" s="15" t="s">
        <v>28</v>
      </c>
      <c r="C3" s="15" t="s">
        <v>48</v>
      </c>
      <c r="D3" s="15" t="s">
        <v>49</v>
      </c>
    </row>
    <row r="4" customFormat="false" ht="15" hidden="false" customHeight="false" outlineLevel="0" collapsed="false">
      <c r="A4" s="14" t="s">
        <v>50</v>
      </c>
      <c r="B4" s="14" t="s">
        <v>28</v>
      </c>
      <c r="C4" s="14" t="s">
        <v>45</v>
      </c>
      <c r="D4" s="14" t="s">
        <v>51</v>
      </c>
    </row>
    <row r="5" customFormat="false" ht="15" hidden="false" customHeight="false" outlineLevel="0" collapsed="false">
      <c r="A5" s="15" t="s">
        <v>52</v>
      </c>
      <c r="B5" s="15" t="s">
        <v>28</v>
      </c>
      <c r="C5" s="15" t="s">
        <v>53</v>
      </c>
      <c r="D5" s="15" t="s">
        <v>54</v>
      </c>
    </row>
    <row r="6" customFormat="false" ht="15" hidden="false" customHeight="false" outlineLevel="0" collapsed="false">
      <c r="A6" s="14" t="s">
        <v>55</v>
      </c>
      <c r="B6" s="14" t="s">
        <v>29</v>
      </c>
      <c r="C6" s="14" t="s">
        <v>56</v>
      </c>
      <c r="D6" s="14" t="s">
        <v>57</v>
      </c>
    </row>
    <row r="7" customFormat="false" ht="15" hidden="false" customHeight="false" outlineLevel="0" collapsed="false">
      <c r="A7" s="15" t="s">
        <v>58</v>
      </c>
      <c r="B7" s="15" t="s">
        <v>29</v>
      </c>
      <c r="C7" s="15" t="s">
        <v>59</v>
      </c>
      <c r="D7" s="15" t="s">
        <v>60</v>
      </c>
    </row>
    <row r="8" customFormat="false" ht="15" hidden="false" customHeight="false" outlineLevel="0" collapsed="false">
      <c r="A8" s="14" t="s">
        <v>61</v>
      </c>
      <c r="B8" s="14" t="s">
        <v>29</v>
      </c>
      <c r="C8" s="14" t="s">
        <v>62</v>
      </c>
      <c r="D8" s="14" t="s">
        <v>63</v>
      </c>
    </row>
    <row r="9" customFormat="false" ht="23.85" hidden="false" customHeight="false" outlineLevel="0" collapsed="false">
      <c r="A9" s="15" t="s">
        <v>64</v>
      </c>
      <c r="B9" s="15" t="s">
        <v>30</v>
      </c>
      <c r="C9" s="15" t="s">
        <v>65</v>
      </c>
      <c r="D9" s="15" t="s">
        <v>66</v>
      </c>
    </row>
    <row r="10" customFormat="false" ht="15" hidden="false" customHeight="false" outlineLevel="0" collapsed="false">
      <c r="A10" s="14" t="s">
        <v>67</v>
      </c>
      <c r="B10" s="14" t="s">
        <v>30</v>
      </c>
      <c r="C10" s="14" t="s">
        <v>65</v>
      </c>
      <c r="D10" s="14" t="s">
        <v>68</v>
      </c>
    </row>
    <row r="11" customFormat="false" ht="15" hidden="false" customHeight="false" outlineLevel="0" collapsed="false">
      <c r="A11" s="15" t="s">
        <v>69</v>
      </c>
      <c r="B11" s="15" t="s">
        <v>30</v>
      </c>
      <c r="C11" s="15" t="s">
        <v>62</v>
      </c>
      <c r="D11" s="15" t="s">
        <v>70</v>
      </c>
    </row>
    <row r="12" customFormat="false" ht="15" hidden="false" customHeight="false" outlineLevel="0" collapsed="false">
      <c r="A12" s="14" t="s">
        <v>71</v>
      </c>
      <c r="B12" s="14" t="s">
        <v>31</v>
      </c>
      <c r="C12" s="14" t="s">
        <v>72</v>
      </c>
      <c r="D12" s="14" t="s">
        <v>73</v>
      </c>
    </row>
    <row r="13" customFormat="false" ht="15" hidden="false" customHeight="false" outlineLevel="0" collapsed="false">
      <c r="A13" s="15" t="s">
        <v>74</v>
      </c>
      <c r="B13" s="15" t="s">
        <v>31</v>
      </c>
      <c r="C13" s="15" t="s">
        <v>75</v>
      </c>
      <c r="D13" s="15" t="s">
        <v>76</v>
      </c>
    </row>
    <row r="14" customFormat="false" ht="15" hidden="false" customHeight="false" outlineLevel="0" collapsed="false">
      <c r="A14" s="14" t="s">
        <v>77</v>
      </c>
      <c r="B14" s="14" t="s">
        <v>31</v>
      </c>
      <c r="C14" s="14" t="s">
        <v>78</v>
      </c>
      <c r="D14" s="14" t="s">
        <v>79</v>
      </c>
    </row>
    <row r="15" customFormat="false" ht="15" hidden="false" customHeight="false" outlineLevel="0" collapsed="false">
      <c r="A15" s="15" t="s">
        <v>80</v>
      </c>
      <c r="B15" s="15" t="s">
        <v>31</v>
      </c>
      <c r="C15" s="15" t="s">
        <v>81</v>
      </c>
      <c r="D15" s="15" t="s">
        <v>82</v>
      </c>
    </row>
    <row r="16" customFormat="false" ht="15" hidden="false" customHeight="false" outlineLevel="0" collapsed="false">
      <c r="A16" s="14" t="s">
        <v>83</v>
      </c>
      <c r="B16" s="14" t="s">
        <v>32</v>
      </c>
      <c r="C16" s="14" t="s">
        <v>84</v>
      </c>
      <c r="D16" s="14" t="s">
        <v>85</v>
      </c>
    </row>
    <row r="17" customFormat="false" ht="15" hidden="false" customHeight="false" outlineLevel="0" collapsed="false">
      <c r="A17" s="15" t="s">
        <v>86</v>
      </c>
      <c r="B17" s="15" t="s">
        <v>32</v>
      </c>
      <c r="C17" s="15" t="s">
        <v>87</v>
      </c>
      <c r="D17" s="15" t="s">
        <v>88</v>
      </c>
    </row>
    <row r="18" customFormat="false" ht="23.85" hidden="false" customHeight="false" outlineLevel="0" collapsed="false">
      <c r="A18" s="14" t="s">
        <v>89</v>
      </c>
      <c r="B18" s="14" t="s">
        <v>32</v>
      </c>
      <c r="C18" s="14" t="s">
        <v>90</v>
      </c>
      <c r="D18" s="14" t="s">
        <v>91</v>
      </c>
    </row>
    <row r="19" customFormat="false" ht="15" hidden="false" customHeight="false" outlineLevel="0" collapsed="false">
      <c r="A19" s="15" t="s">
        <v>92</v>
      </c>
      <c r="B19" s="15" t="s">
        <v>32</v>
      </c>
      <c r="C19" s="15" t="s">
        <v>93</v>
      </c>
      <c r="D19" s="15" t="s">
        <v>94</v>
      </c>
    </row>
    <row r="20" customFormat="false" ht="15" hidden="false" customHeight="false" outlineLevel="0" collapsed="false">
      <c r="A20" s="14" t="s">
        <v>95</v>
      </c>
      <c r="B20" s="14" t="s">
        <v>32</v>
      </c>
      <c r="C20" s="14" t="s">
        <v>93</v>
      </c>
      <c r="D20" s="14" t="s">
        <v>96</v>
      </c>
    </row>
    <row r="21" customFormat="false" ht="15" hidden="false" customHeight="false" outlineLevel="0" collapsed="false">
      <c r="A21" s="15" t="s">
        <v>97</v>
      </c>
      <c r="B21" s="15" t="s">
        <v>33</v>
      </c>
      <c r="C21" s="15" t="s">
        <v>98</v>
      </c>
      <c r="D21" s="15" t="s">
        <v>99</v>
      </c>
    </row>
    <row r="22" customFormat="false" ht="23.85" hidden="false" customHeight="false" outlineLevel="0" collapsed="false">
      <c r="A22" s="14" t="s">
        <v>100</v>
      </c>
      <c r="B22" s="14" t="s">
        <v>33</v>
      </c>
      <c r="C22" s="14" t="s">
        <v>101</v>
      </c>
      <c r="D22" s="14" t="s">
        <v>102</v>
      </c>
    </row>
    <row r="23" customFormat="false" ht="15" hidden="false" customHeight="false" outlineLevel="0" collapsed="false">
      <c r="A23" s="15" t="s">
        <v>103</v>
      </c>
      <c r="B23" s="15" t="s">
        <v>33</v>
      </c>
      <c r="C23" s="15" t="s">
        <v>87</v>
      </c>
      <c r="D23" s="15" t="s">
        <v>104</v>
      </c>
    </row>
    <row r="24" customFormat="false" ht="15" hidden="false" customHeight="false" outlineLevel="0" collapsed="false">
      <c r="A24" s="14" t="s">
        <v>105</v>
      </c>
      <c r="B24" s="14" t="s">
        <v>33</v>
      </c>
      <c r="C24" s="14" t="s">
        <v>106</v>
      </c>
      <c r="D24" s="14" t="s">
        <v>107</v>
      </c>
    </row>
    <row r="25" customFormat="false" ht="15" hidden="false" customHeight="false" outlineLevel="0" collapsed="false">
      <c r="A25" s="15" t="s">
        <v>108</v>
      </c>
      <c r="B25" s="15" t="s">
        <v>34</v>
      </c>
      <c r="C25" s="15" t="s">
        <v>109</v>
      </c>
      <c r="D25" s="15" t="s">
        <v>110</v>
      </c>
    </row>
    <row r="26" customFormat="false" ht="15" hidden="false" customHeight="false" outlineLevel="0" collapsed="false">
      <c r="A26" s="14" t="s">
        <v>111</v>
      </c>
      <c r="B26" s="14" t="s">
        <v>34</v>
      </c>
      <c r="C26" s="14" t="s">
        <v>112</v>
      </c>
      <c r="D26" s="14" t="s">
        <v>113</v>
      </c>
    </row>
    <row r="27" customFormat="false" ht="15" hidden="false" customHeight="false" outlineLevel="0" collapsed="false">
      <c r="A27" s="15" t="s">
        <v>114</v>
      </c>
      <c r="B27" s="15" t="s">
        <v>34</v>
      </c>
      <c r="C27" s="15" t="s">
        <v>115</v>
      </c>
      <c r="D27" s="15" t="s">
        <v>116</v>
      </c>
    </row>
    <row r="28" customFormat="false" ht="15" hidden="false" customHeight="false" outlineLevel="0" collapsed="false">
      <c r="A28" s="14" t="s">
        <v>117</v>
      </c>
      <c r="B28" s="14" t="s">
        <v>35</v>
      </c>
      <c r="C28" s="14" t="s">
        <v>45</v>
      </c>
      <c r="D28" s="14" t="s">
        <v>118</v>
      </c>
    </row>
    <row r="29" customFormat="false" ht="15" hidden="false" customHeight="false" outlineLevel="0" collapsed="false">
      <c r="A29" s="15" t="s">
        <v>119</v>
      </c>
      <c r="B29" s="15" t="s">
        <v>35</v>
      </c>
      <c r="C29" s="15" t="s">
        <v>45</v>
      </c>
      <c r="D29" s="15" t="s">
        <v>120</v>
      </c>
    </row>
    <row r="30" customFormat="false" ht="23.85" hidden="false" customHeight="false" outlineLevel="0" collapsed="false">
      <c r="A30" s="14" t="s">
        <v>121</v>
      </c>
      <c r="B30" s="14" t="s">
        <v>36</v>
      </c>
      <c r="C30" s="14" t="s">
        <v>122</v>
      </c>
      <c r="D30" s="14" t="s">
        <v>123</v>
      </c>
    </row>
    <row r="31" customFormat="false" ht="15" hidden="false" customHeight="false" outlineLevel="0" collapsed="false">
      <c r="A31" s="15" t="s">
        <v>124</v>
      </c>
      <c r="B31" s="15" t="s">
        <v>37</v>
      </c>
      <c r="C31" s="15" t="s">
        <v>81</v>
      </c>
      <c r="D31" s="15" t="s">
        <v>125</v>
      </c>
    </row>
    <row r="32" customFormat="false" ht="15" hidden="false" customHeight="false" outlineLevel="0" collapsed="false">
      <c r="A32" s="14" t="s">
        <v>126</v>
      </c>
      <c r="B32" s="14" t="s">
        <v>37</v>
      </c>
      <c r="C32" s="14" t="s">
        <v>127</v>
      </c>
      <c r="D32" s="14" t="s">
        <v>128</v>
      </c>
    </row>
    <row r="33" customFormat="false" ht="15" hidden="false" customHeight="false" outlineLevel="0" collapsed="false">
      <c r="A33" s="15" t="s">
        <v>129</v>
      </c>
      <c r="B33" s="15" t="s">
        <v>38</v>
      </c>
      <c r="C33" s="15" t="s">
        <v>130</v>
      </c>
      <c r="D33" s="15" t="s">
        <v>131</v>
      </c>
    </row>
    <row r="34" customFormat="false" ht="15" hidden="false" customHeight="false" outlineLevel="0" collapsed="false">
      <c r="A34" s="14" t="s">
        <v>132</v>
      </c>
      <c r="B34" s="14" t="s">
        <v>38</v>
      </c>
      <c r="C34" s="14" t="s">
        <v>133</v>
      </c>
      <c r="D34" s="14" t="s">
        <v>134</v>
      </c>
    </row>
    <row r="35" customFormat="false" ht="15" hidden="false" customHeight="false" outlineLevel="0" collapsed="false">
      <c r="A35" s="15" t="s">
        <v>135</v>
      </c>
      <c r="B35" s="15" t="s">
        <v>38</v>
      </c>
      <c r="C35" s="15" t="s">
        <v>136</v>
      </c>
      <c r="D35" s="15" t="s">
        <v>137</v>
      </c>
    </row>
    <row r="36" customFormat="false" ht="15" hidden="false" customHeight="false" outlineLevel="0" collapsed="false">
      <c r="A36" s="14" t="s">
        <v>138</v>
      </c>
      <c r="B36" s="14" t="s">
        <v>38</v>
      </c>
      <c r="C36" s="14" t="s">
        <v>139</v>
      </c>
      <c r="D36" s="14" t="s">
        <v>140</v>
      </c>
    </row>
    <row r="37" customFormat="false" ht="23.85" hidden="false" customHeight="false" outlineLevel="0" collapsed="false">
      <c r="A37" s="15" t="s">
        <v>141</v>
      </c>
      <c r="B37" s="15" t="s">
        <v>39</v>
      </c>
      <c r="C37" s="15" t="s">
        <v>93</v>
      </c>
      <c r="D37" s="15" t="s">
        <v>142</v>
      </c>
    </row>
    <row r="38" customFormat="false" ht="15" hidden="false" customHeight="false" outlineLevel="0" collapsed="false">
      <c r="A38" s="14" t="s">
        <v>143</v>
      </c>
      <c r="B38" s="14" t="s">
        <v>39</v>
      </c>
      <c r="C38" s="14" t="s">
        <v>144</v>
      </c>
      <c r="D38" s="14" t="s">
        <v>145</v>
      </c>
    </row>
  </sheetData>
  <autoFilter ref="A1:D3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4"/>
    <col collapsed="false" customWidth="true" hidden="false" outlineLevel="0" max="3" min="3" style="0" width="16"/>
    <col collapsed="false" customWidth="true" hidden="false" outlineLevel="0" max="4" min="4" style="0" width="14"/>
    <col collapsed="false" customWidth="true" hidden="false" outlineLevel="0" max="5" min="5" style="0" width="10"/>
    <col collapsed="false" customWidth="true" hidden="false" outlineLevel="0" max="6" min="6" style="0" width="34"/>
    <col collapsed="false" customWidth="true" hidden="false" outlineLevel="0" max="7" min="7" style="0" width="48"/>
    <col collapsed="false" customWidth="true" hidden="false" outlineLevel="0" max="8" min="8" style="0" width="46"/>
    <col collapsed="false" customWidth="true" hidden="false" outlineLevel="0" max="9" min="9" style="0" width="34"/>
    <col collapsed="false" customWidth="true" hidden="false" outlineLevel="0" max="10" min="10" style="0" width="12"/>
    <col collapsed="false" customWidth="true" hidden="false" outlineLevel="0" max="11" min="11" style="0" width="13"/>
    <col collapsed="false" customWidth="true" hidden="false" outlineLevel="0" max="12" min="12" style="0" width="12"/>
    <col collapsed="false" customWidth="true" hidden="false" outlineLevel="0" max="13" min="13" style="0" width="28"/>
  </cols>
  <sheetData>
    <row r="1" customFormat="false" ht="23.85" hidden="false" customHeight="false" outlineLevel="0" collapsed="false">
      <c r="A1" s="5" t="s">
        <v>41</v>
      </c>
      <c r="B1" s="5" t="s">
        <v>21</v>
      </c>
      <c r="C1" s="5" t="s">
        <v>42</v>
      </c>
      <c r="D1" s="5" t="s">
        <v>146</v>
      </c>
      <c r="E1" s="5" t="s">
        <v>147</v>
      </c>
      <c r="F1" s="5" t="s">
        <v>148</v>
      </c>
      <c r="G1" s="5" t="s">
        <v>149</v>
      </c>
      <c r="H1" s="5" t="s">
        <v>150</v>
      </c>
      <c r="I1" s="5" t="s">
        <v>151</v>
      </c>
      <c r="J1" s="5" t="s">
        <v>152</v>
      </c>
      <c r="K1" s="5" t="s">
        <v>153</v>
      </c>
      <c r="L1" s="5" t="s">
        <v>154</v>
      </c>
      <c r="M1" s="5" t="s">
        <v>155</v>
      </c>
    </row>
    <row r="2" customFormat="false" ht="23.85" hidden="false" customHeight="false" outlineLevel="0" collapsed="false">
      <c r="A2" s="14" t="s">
        <v>156</v>
      </c>
      <c r="B2" s="14" t="s">
        <v>28</v>
      </c>
      <c r="C2" s="14" t="s">
        <v>45</v>
      </c>
      <c r="D2" s="14" t="s">
        <v>157</v>
      </c>
      <c r="E2" s="14" t="s">
        <v>158</v>
      </c>
      <c r="F2" s="14" t="s">
        <v>159</v>
      </c>
      <c r="G2" s="14" t="s">
        <v>160</v>
      </c>
      <c r="H2" s="14" t="s">
        <v>161</v>
      </c>
      <c r="I2" s="16"/>
      <c r="J2" s="16" t="s">
        <v>26</v>
      </c>
      <c r="K2" s="16"/>
      <c r="L2" s="16"/>
      <c r="M2" s="16"/>
    </row>
    <row r="3" customFormat="false" ht="23.85" hidden="false" customHeight="false" outlineLevel="0" collapsed="false">
      <c r="A3" s="14" t="s">
        <v>162</v>
      </c>
      <c r="B3" s="14" t="s">
        <v>28</v>
      </c>
      <c r="C3" s="14" t="s">
        <v>45</v>
      </c>
      <c r="D3" s="14" t="s">
        <v>163</v>
      </c>
      <c r="E3" s="14" t="s">
        <v>158</v>
      </c>
      <c r="F3" s="14" t="s">
        <v>164</v>
      </c>
      <c r="G3" s="14" t="s">
        <v>165</v>
      </c>
      <c r="H3" s="14" t="s">
        <v>166</v>
      </c>
      <c r="I3" s="16"/>
      <c r="J3" s="16" t="s">
        <v>26</v>
      </c>
      <c r="K3" s="16"/>
      <c r="L3" s="16"/>
      <c r="M3" s="16"/>
    </row>
    <row r="4" customFormat="false" ht="15" hidden="false" customHeight="false" outlineLevel="0" collapsed="false">
      <c r="A4" s="14" t="s">
        <v>167</v>
      </c>
      <c r="B4" s="14" t="s">
        <v>28</v>
      </c>
      <c r="C4" s="14" t="s">
        <v>45</v>
      </c>
      <c r="D4" s="14" t="s">
        <v>163</v>
      </c>
      <c r="E4" s="14" t="s">
        <v>168</v>
      </c>
      <c r="F4" s="14" t="s">
        <v>169</v>
      </c>
      <c r="G4" s="14" t="s">
        <v>170</v>
      </c>
      <c r="H4" s="14" t="s">
        <v>171</v>
      </c>
      <c r="I4" s="16"/>
      <c r="J4" s="16" t="s">
        <v>26</v>
      </c>
      <c r="K4" s="16"/>
      <c r="L4" s="16"/>
      <c r="M4" s="16"/>
    </row>
    <row r="5" customFormat="false" ht="23.85" hidden="false" customHeight="false" outlineLevel="0" collapsed="false">
      <c r="A5" s="14" t="s">
        <v>172</v>
      </c>
      <c r="B5" s="14" t="s">
        <v>28</v>
      </c>
      <c r="C5" s="14" t="s">
        <v>45</v>
      </c>
      <c r="D5" s="14" t="s">
        <v>157</v>
      </c>
      <c r="E5" s="14" t="s">
        <v>158</v>
      </c>
      <c r="F5" s="14" t="s">
        <v>173</v>
      </c>
      <c r="G5" s="14" t="s">
        <v>174</v>
      </c>
      <c r="H5" s="14" t="s">
        <v>175</v>
      </c>
      <c r="I5" s="16"/>
      <c r="J5" s="16" t="s">
        <v>26</v>
      </c>
      <c r="K5" s="16"/>
      <c r="L5" s="16"/>
      <c r="M5" s="16"/>
    </row>
    <row r="6" customFormat="false" ht="23.85" hidden="false" customHeight="false" outlineLevel="0" collapsed="false">
      <c r="A6" s="14" t="s">
        <v>176</v>
      </c>
      <c r="B6" s="14" t="s">
        <v>28</v>
      </c>
      <c r="C6" s="14" t="s">
        <v>45</v>
      </c>
      <c r="D6" s="14" t="s">
        <v>177</v>
      </c>
      <c r="E6" s="14" t="s">
        <v>158</v>
      </c>
      <c r="F6" s="14" t="s">
        <v>178</v>
      </c>
      <c r="G6" s="14" t="s">
        <v>179</v>
      </c>
      <c r="H6" s="14" t="s">
        <v>180</v>
      </c>
      <c r="I6" s="16"/>
      <c r="J6" s="16" t="s">
        <v>26</v>
      </c>
      <c r="K6" s="16"/>
      <c r="L6" s="16"/>
      <c r="M6" s="16"/>
    </row>
    <row r="7" customFormat="false" ht="23.85" hidden="false" customHeight="false" outlineLevel="0" collapsed="false">
      <c r="A7" s="14" t="s">
        <v>181</v>
      </c>
      <c r="B7" s="14" t="s">
        <v>28</v>
      </c>
      <c r="C7" s="14" t="s">
        <v>48</v>
      </c>
      <c r="D7" s="14" t="s">
        <v>177</v>
      </c>
      <c r="E7" s="14" t="s">
        <v>158</v>
      </c>
      <c r="F7" s="14" t="s">
        <v>182</v>
      </c>
      <c r="G7" s="14" t="s">
        <v>183</v>
      </c>
      <c r="H7" s="14" t="s">
        <v>184</v>
      </c>
      <c r="I7" s="16"/>
      <c r="J7" s="16" t="s">
        <v>26</v>
      </c>
      <c r="K7" s="16"/>
      <c r="L7" s="16"/>
      <c r="M7" s="16"/>
    </row>
    <row r="8" customFormat="false" ht="23.85" hidden="false" customHeight="false" outlineLevel="0" collapsed="false">
      <c r="A8" s="14" t="s">
        <v>185</v>
      </c>
      <c r="B8" s="14" t="s">
        <v>28</v>
      </c>
      <c r="C8" s="14" t="s">
        <v>45</v>
      </c>
      <c r="D8" s="14" t="s">
        <v>157</v>
      </c>
      <c r="E8" s="14" t="s">
        <v>168</v>
      </c>
      <c r="F8" s="14" t="s">
        <v>186</v>
      </c>
      <c r="G8" s="14" t="s">
        <v>187</v>
      </c>
      <c r="H8" s="14" t="s">
        <v>188</v>
      </c>
      <c r="I8" s="16"/>
      <c r="J8" s="16" t="s">
        <v>26</v>
      </c>
      <c r="K8" s="16"/>
      <c r="L8" s="16"/>
      <c r="M8" s="16"/>
    </row>
    <row r="9" customFormat="false" ht="23.85" hidden="false" customHeight="false" outlineLevel="0" collapsed="false">
      <c r="A9" s="14" t="s">
        <v>189</v>
      </c>
      <c r="B9" s="14" t="s">
        <v>28</v>
      </c>
      <c r="C9" s="14" t="s">
        <v>45</v>
      </c>
      <c r="D9" s="14" t="s">
        <v>177</v>
      </c>
      <c r="E9" s="14" t="s">
        <v>158</v>
      </c>
      <c r="F9" s="14" t="s">
        <v>190</v>
      </c>
      <c r="G9" s="14" t="s">
        <v>191</v>
      </c>
      <c r="H9" s="14" t="s">
        <v>192</v>
      </c>
      <c r="I9" s="16"/>
      <c r="J9" s="16" t="s">
        <v>26</v>
      </c>
      <c r="K9" s="16"/>
      <c r="L9" s="16"/>
      <c r="M9" s="16"/>
    </row>
    <row r="10" customFormat="false" ht="23.85" hidden="false" customHeight="false" outlineLevel="0" collapsed="false">
      <c r="A10" s="14" t="s">
        <v>193</v>
      </c>
      <c r="B10" s="14" t="s">
        <v>28</v>
      </c>
      <c r="C10" s="14" t="s">
        <v>53</v>
      </c>
      <c r="D10" s="14" t="s">
        <v>177</v>
      </c>
      <c r="E10" s="14" t="s">
        <v>158</v>
      </c>
      <c r="F10" s="14" t="s">
        <v>194</v>
      </c>
      <c r="G10" s="14" t="s">
        <v>195</v>
      </c>
      <c r="H10" s="14" t="s">
        <v>196</v>
      </c>
      <c r="I10" s="16"/>
      <c r="J10" s="16" t="s">
        <v>26</v>
      </c>
      <c r="K10" s="16"/>
      <c r="L10" s="16"/>
      <c r="M10" s="16"/>
    </row>
    <row r="11" customFormat="false" ht="23.85" hidden="false" customHeight="false" outlineLevel="0" collapsed="false">
      <c r="A11" s="14" t="s">
        <v>197</v>
      </c>
      <c r="B11" s="14" t="s">
        <v>28</v>
      </c>
      <c r="C11" s="14" t="s">
        <v>53</v>
      </c>
      <c r="D11" s="14" t="s">
        <v>177</v>
      </c>
      <c r="E11" s="14" t="s">
        <v>158</v>
      </c>
      <c r="F11" s="14" t="s">
        <v>198</v>
      </c>
      <c r="G11" s="14" t="s">
        <v>199</v>
      </c>
      <c r="H11" s="14" t="s">
        <v>200</v>
      </c>
      <c r="I11" s="16"/>
      <c r="J11" s="16" t="s">
        <v>26</v>
      </c>
      <c r="K11" s="16"/>
      <c r="L11" s="16"/>
      <c r="M11" s="16"/>
    </row>
    <row r="12" customFormat="false" ht="23.85" hidden="false" customHeight="false" outlineLevel="0" collapsed="false">
      <c r="A12" s="14" t="s">
        <v>201</v>
      </c>
      <c r="B12" s="14" t="s">
        <v>28</v>
      </c>
      <c r="C12" s="14" t="s">
        <v>53</v>
      </c>
      <c r="D12" s="14" t="s">
        <v>177</v>
      </c>
      <c r="E12" s="14" t="s">
        <v>158</v>
      </c>
      <c r="F12" s="14" t="s">
        <v>202</v>
      </c>
      <c r="G12" s="14" t="s">
        <v>203</v>
      </c>
      <c r="H12" s="14" t="s">
        <v>204</v>
      </c>
      <c r="I12" s="16"/>
      <c r="J12" s="16" t="s">
        <v>26</v>
      </c>
      <c r="K12" s="16"/>
      <c r="L12" s="16"/>
      <c r="M12" s="16"/>
    </row>
    <row r="13" customFormat="false" ht="15" hidden="false" customHeight="false" outlineLevel="0" collapsed="false">
      <c r="A13" s="14" t="s">
        <v>205</v>
      </c>
      <c r="B13" s="14" t="s">
        <v>28</v>
      </c>
      <c r="C13" s="14" t="s">
        <v>45</v>
      </c>
      <c r="D13" s="14" t="s">
        <v>157</v>
      </c>
      <c r="E13" s="14" t="s">
        <v>168</v>
      </c>
      <c r="F13" s="14" t="s">
        <v>206</v>
      </c>
      <c r="G13" s="14" t="s">
        <v>207</v>
      </c>
      <c r="H13" s="14" t="s">
        <v>208</v>
      </c>
      <c r="I13" s="16"/>
      <c r="J13" s="16" t="s">
        <v>26</v>
      </c>
      <c r="K13" s="16"/>
      <c r="L13" s="16"/>
      <c r="M13" s="16"/>
    </row>
    <row r="14" customFormat="false" ht="23.85" hidden="false" customHeight="false" outlineLevel="0" collapsed="false">
      <c r="A14" s="14" t="s">
        <v>209</v>
      </c>
      <c r="B14" s="14" t="s">
        <v>28</v>
      </c>
      <c r="C14" s="14" t="s">
        <v>177</v>
      </c>
      <c r="D14" s="14" t="s">
        <v>177</v>
      </c>
      <c r="E14" s="14" t="s">
        <v>158</v>
      </c>
      <c r="F14" s="14" t="s">
        <v>210</v>
      </c>
      <c r="G14" s="14" t="s">
        <v>211</v>
      </c>
      <c r="H14" s="14" t="s">
        <v>212</v>
      </c>
      <c r="I14" s="16"/>
      <c r="J14" s="16" t="s">
        <v>26</v>
      </c>
      <c r="K14" s="16"/>
      <c r="L14" s="16"/>
      <c r="M14" s="16"/>
    </row>
    <row r="15" customFormat="false" ht="23.85" hidden="false" customHeight="false" outlineLevel="0" collapsed="false">
      <c r="A15" s="14" t="s">
        <v>213</v>
      </c>
      <c r="B15" s="14" t="s">
        <v>28</v>
      </c>
      <c r="C15" s="14" t="s">
        <v>177</v>
      </c>
      <c r="D15" s="14" t="s">
        <v>177</v>
      </c>
      <c r="E15" s="14" t="s">
        <v>158</v>
      </c>
      <c r="F15" s="14" t="s">
        <v>214</v>
      </c>
      <c r="G15" s="14" t="s">
        <v>215</v>
      </c>
      <c r="H15" s="14" t="s">
        <v>216</v>
      </c>
      <c r="I15" s="16"/>
      <c r="J15" s="16" t="s">
        <v>26</v>
      </c>
      <c r="K15" s="16"/>
      <c r="L15" s="16"/>
      <c r="M15" s="16"/>
    </row>
    <row r="16" customFormat="false" ht="23.85" hidden="false" customHeight="false" outlineLevel="0" collapsed="false">
      <c r="A16" s="14" t="s">
        <v>217</v>
      </c>
      <c r="B16" s="14" t="s">
        <v>29</v>
      </c>
      <c r="C16" s="14" t="s">
        <v>56</v>
      </c>
      <c r="D16" s="14" t="s">
        <v>157</v>
      </c>
      <c r="E16" s="14" t="s">
        <v>158</v>
      </c>
      <c r="F16" s="14" t="s">
        <v>218</v>
      </c>
      <c r="G16" s="14" t="s">
        <v>219</v>
      </c>
      <c r="H16" s="14" t="s">
        <v>220</v>
      </c>
      <c r="I16" s="16"/>
      <c r="J16" s="16" t="s">
        <v>26</v>
      </c>
      <c r="K16" s="16"/>
      <c r="L16" s="16"/>
      <c r="M16" s="16"/>
    </row>
    <row r="17" customFormat="false" ht="15" hidden="false" customHeight="false" outlineLevel="0" collapsed="false">
      <c r="A17" s="14" t="s">
        <v>221</v>
      </c>
      <c r="B17" s="14" t="s">
        <v>29</v>
      </c>
      <c r="C17" s="14" t="s">
        <v>56</v>
      </c>
      <c r="D17" s="14" t="s">
        <v>163</v>
      </c>
      <c r="E17" s="14" t="s">
        <v>158</v>
      </c>
      <c r="F17" s="14" t="s">
        <v>222</v>
      </c>
      <c r="G17" s="14" t="s">
        <v>223</v>
      </c>
      <c r="H17" s="14" t="s">
        <v>224</v>
      </c>
      <c r="I17" s="16"/>
      <c r="J17" s="16" t="s">
        <v>26</v>
      </c>
      <c r="K17" s="16"/>
      <c r="L17" s="16"/>
      <c r="M17" s="16"/>
    </row>
    <row r="18" customFormat="false" ht="15" hidden="false" customHeight="false" outlineLevel="0" collapsed="false">
      <c r="A18" s="14" t="s">
        <v>225</v>
      </c>
      <c r="B18" s="14" t="s">
        <v>29</v>
      </c>
      <c r="C18" s="14" t="s">
        <v>56</v>
      </c>
      <c r="D18" s="14" t="s">
        <v>163</v>
      </c>
      <c r="E18" s="14" t="s">
        <v>168</v>
      </c>
      <c r="F18" s="14" t="s">
        <v>226</v>
      </c>
      <c r="G18" s="14" t="s">
        <v>227</v>
      </c>
      <c r="H18" s="14" t="s">
        <v>228</v>
      </c>
      <c r="I18" s="16"/>
      <c r="J18" s="16" t="s">
        <v>26</v>
      </c>
      <c r="K18" s="16"/>
      <c r="L18" s="16"/>
      <c r="M18" s="16"/>
    </row>
    <row r="19" customFormat="false" ht="15" hidden="false" customHeight="false" outlineLevel="0" collapsed="false">
      <c r="A19" s="14" t="s">
        <v>229</v>
      </c>
      <c r="B19" s="14" t="s">
        <v>29</v>
      </c>
      <c r="C19" s="14" t="s">
        <v>56</v>
      </c>
      <c r="D19" s="14" t="s">
        <v>157</v>
      </c>
      <c r="E19" s="14" t="s">
        <v>168</v>
      </c>
      <c r="F19" s="14" t="s">
        <v>230</v>
      </c>
      <c r="G19" s="14" t="s">
        <v>231</v>
      </c>
      <c r="H19" s="14" t="s">
        <v>232</v>
      </c>
      <c r="I19" s="16"/>
      <c r="J19" s="16" t="s">
        <v>26</v>
      </c>
      <c r="K19" s="16"/>
      <c r="L19" s="16"/>
      <c r="M19" s="16"/>
    </row>
    <row r="20" customFormat="false" ht="23.85" hidden="false" customHeight="false" outlineLevel="0" collapsed="false">
      <c r="A20" s="14" t="s">
        <v>233</v>
      </c>
      <c r="B20" s="14" t="s">
        <v>29</v>
      </c>
      <c r="C20" s="14" t="s">
        <v>62</v>
      </c>
      <c r="D20" s="14" t="s">
        <v>234</v>
      </c>
      <c r="E20" s="14" t="s">
        <v>158</v>
      </c>
      <c r="F20" s="14" t="s">
        <v>235</v>
      </c>
      <c r="G20" s="14" t="s">
        <v>236</v>
      </c>
      <c r="H20" s="14" t="s">
        <v>237</v>
      </c>
      <c r="I20" s="16"/>
      <c r="J20" s="16" t="s">
        <v>26</v>
      </c>
      <c r="K20" s="16"/>
      <c r="L20" s="16"/>
      <c r="M20" s="16"/>
    </row>
    <row r="21" customFormat="false" ht="23.85" hidden="false" customHeight="false" outlineLevel="0" collapsed="false">
      <c r="A21" s="14" t="s">
        <v>238</v>
      </c>
      <c r="B21" s="14" t="s">
        <v>29</v>
      </c>
      <c r="C21" s="14" t="s">
        <v>93</v>
      </c>
      <c r="D21" s="14" t="s">
        <v>234</v>
      </c>
      <c r="E21" s="14" t="s">
        <v>168</v>
      </c>
      <c r="F21" s="14" t="s">
        <v>239</v>
      </c>
      <c r="G21" s="14" t="s">
        <v>240</v>
      </c>
      <c r="H21" s="14" t="s">
        <v>241</v>
      </c>
      <c r="I21" s="16"/>
      <c r="J21" s="16" t="s">
        <v>26</v>
      </c>
      <c r="K21" s="16"/>
      <c r="L21" s="16"/>
      <c r="M21" s="16"/>
    </row>
    <row r="22" customFormat="false" ht="15" hidden="false" customHeight="false" outlineLevel="0" collapsed="false">
      <c r="A22" s="14" t="s">
        <v>242</v>
      </c>
      <c r="B22" s="14" t="s">
        <v>29</v>
      </c>
      <c r="C22" s="14" t="s">
        <v>56</v>
      </c>
      <c r="D22" s="14" t="s">
        <v>157</v>
      </c>
      <c r="E22" s="14" t="s">
        <v>168</v>
      </c>
      <c r="F22" s="14" t="s">
        <v>243</v>
      </c>
      <c r="G22" s="14" t="s">
        <v>244</v>
      </c>
      <c r="H22" s="14" t="s">
        <v>245</v>
      </c>
      <c r="I22" s="16"/>
      <c r="J22" s="16" t="s">
        <v>26</v>
      </c>
      <c r="K22" s="16"/>
      <c r="L22" s="16"/>
      <c r="M22" s="16"/>
    </row>
    <row r="23" customFormat="false" ht="15" hidden="false" customHeight="false" outlineLevel="0" collapsed="false">
      <c r="A23" s="14" t="s">
        <v>246</v>
      </c>
      <c r="B23" s="14" t="s">
        <v>29</v>
      </c>
      <c r="C23" s="14" t="s">
        <v>62</v>
      </c>
      <c r="D23" s="14" t="s">
        <v>234</v>
      </c>
      <c r="E23" s="14" t="s">
        <v>158</v>
      </c>
      <c r="F23" s="14" t="s">
        <v>247</v>
      </c>
      <c r="G23" s="14" t="s">
        <v>248</v>
      </c>
      <c r="H23" s="14" t="s">
        <v>249</v>
      </c>
      <c r="I23" s="16"/>
      <c r="J23" s="16" t="s">
        <v>26</v>
      </c>
      <c r="K23" s="16"/>
      <c r="L23" s="16"/>
      <c r="M23" s="16"/>
    </row>
    <row r="24" customFormat="false" ht="23.85" hidden="false" customHeight="false" outlineLevel="0" collapsed="false">
      <c r="A24" s="14" t="s">
        <v>250</v>
      </c>
      <c r="B24" s="14" t="s">
        <v>29</v>
      </c>
      <c r="C24" s="14" t="s">
        <v>56</v>
      </c>
      <c r="D24" s="14" t="s">
        <v>157</v>
      </c>
      <c r="E24" s="14" t="s">
        <v>168</v>
      </c>
      <c r="F24" s="14" t="s">
        <v>251</v>
      </c>
      <c r="G24" s="14" t="s">
        <v>252</v>
      </c>
      <c r="H24" s="14" t="s">
        <v>253</v>
      </c>
      <c r="I24" s="16"/>
      <c r="J24" s="16" t="s">
        <v>26</v>
      </c>
      <c r="K24" s="16"/>
      <c r="L24" s="16"/>
      <c r="M24" s="16"/>
    </row>
    <row r="25" customFormat="false" ht="23.85" hidden="false" customHeight="false" outlineLevel="0" collapsed="false">
      <c r="A25" s="14" t="s">
        <v>254</v>
      </c>
      <c r="B25" s="14" t="s">
        <v>29</v>
      </c>
      <c r="C25" s="14" t="s">
        <v>255</v>
      </c>
      <c r="D25" s="14" t="s">
        <v>234</v>
      </c>
      <c r="E25" s="14" t="s">
        <v>168</v>
      </c>
      <c r="F25" s="14" t="s">
        <v>256</v>
      </c>
      <c r="G25" s="14" t="s">
        <v>257</v>
      </c>
      <c r="H25" s="14" t="s">
        <v>258</v>
      </c>
      <c r="I25" s="16"/>
      <c r="J25" s="16" t="s">
        <v>26</v>
      </c>
      <c r="K25" s="16"/>
      <c r="L25" s="16"/>
      <c r="M25" s="16"/>
    </row>
    <row r="26" customFormat="false" ht="15" hidden="false" customHeight="false" outlineLevel="0" collapsed="false">
      <c r="A26" s="14" t="s">
        <v>259</v>
      </c>
      <c r="B26" s="14" t="s">
        <v>29</v>
      </c>
      <c r="C26" s="14" t="s">
        <v>56</v>
      </c>
      <c r="D26" s="14" t="s">
        <v>163</v>
      </c>
      <c r="E26" s="14" t="s">
        <v>168</v>
      </c>
      <c r="F26" s="14" t="s">
        <v>260</v>
      </c>
      <c r="G26" s="14" t="s">
        <v>261</v>
      </c>
      <c r="H26" s="14" t="s">
        <v>237</v>
      </c>
      <c r="I26" s="16"/>
      <c r="J26" s="16" t="s">
        <v>26</v>
      </c>
      <c r="K26" s="16"/>
      <c r="L26" s="16"/>
      <c r="M26" s="16"/>
    </row>
    <row r="27" customFormat="false" ht="23.85" hidden="false" customHeight="false" outlineLevel="0" collapsed="false">
      <c r="A27" s="14" t="s">
        <v>262</v>
      </c>
      <c r="B27" s="14" t="s">
        <v>29</v>
      </c>
      <c r="C27" s="14" t="s">
        <v>263</v>
      </c>
      <c r="D27" s="14" t="s">
        <v>177</v>
      </c>
      <c r="E27" s="14" t="s">
        <v>158</v>
      </c>
      <c r="F27" s="14" t="s">
        <v>264</v>
      </c>
      <c r="G27" s="14" t="s">
        <v>265</v>
      </c>
      <c r="H27" s="14" t="s">
        <v>266</v>
      </c>
      <c r="I27" s="16"/>
      <c r="J27" s="16" t="s">
        <v>26</v>
      </c>
      <c r="K27" s="16"/>
      <c r="L27" s="16"/>
      <c r="M27" s="16"/>
    </row>
    <row r="28" customFormat="false" ht="15" hidden="false" customHeight="false" outlineLevel="0" collapsed="false">
      <c r="A28" s="14" t="s">
        <v>267</v>
      </c>
      <c r="B28" s="14" t="s">
        <v>30</v>
      </c>
      <c r="C28" s="14" t="s">
        <v>65</v>
      </c>
      <c r="D28" s="14" t="s">
        <v>157</v>
      </c>
      <c r="E28" s="14" t="s">
        <v>158</v>
      </c>
      <c r="F28" s="14" t="s">
        <v>268</v>
      </c>
      <c r="G28" s="14" t="s">
        <v>269</v>
      </c>
      <c r="H28" s="14" t="s">
        <v>270</v>
      </c>
      <c r="I28" s="16"/>
      <c r="J28" s="16" t="s">
        <v>26</v>
      </c>
      <c r="K28" s="16"/>
      <c r="L28" s="16"/>
      <c r="M28" s="16"/>
    </row>
    <row r="29" customFormat="false" ht="23.85" hidden="false" customHeight="false" outlineLevel="0" collapsed="false">
      <c r="A29" s="14" t="s">
        <v>271</v>
      </c>
      <c r="B29" s="14" t="s">
        <v>30</v>
      </c>
      <c r="C29" s="14" t="s">
        <v>65</v>
      </c>
      <c r="D29" s="14" t="s">
        <v>163</v>
      </c>
      <c r="E29" s="14" t="s">
        <v>168</v>
      </c>
      <c r="F29" s="14" t="s">
        <v>272</v>
      </c>
      <c r="G29" s="14" t="s">
        <v>273</v>
      </c>
      <c r="H29" s="14" t="s">
        <v>274</v>
      </c>
      <c r="I29" s="16"/>
      <c r="J29" s="16" t="s">
        <v>26</v>
      </c>
      <c r="K29" s="16"/>
      <c r="L29" s="16"/>
      <c r="M29" s="16"/>
    </row>
    <row r="30" customFormat="false" ht="15" hidden="false" customHeight="false" outlineLevel="0" collapsed="false">
      <c r="A30" s="14" t="s">
        <v>275</v>
      </c>
      <c r="B30" s="14" t="s">
        <v>30</v>
      </c>
      <c r="C30" s="14" t="s">
        <v>65</v>
      </c>
      <c r="D30" s="14" t="s">
        <v>163</v>
      </c>
      <c r="E30" s="14" t="s">
        <v>158</v>
      </c>
      <c r="F30" s="14" t="s">
        <v>276</v>
      </c>
      <c r="G30" s="14" t="s">
        <v>277</v>
      </c>
      <c r="H30" s="14" t="s">
        <v>237</v>
      </c>
      <c r="I30" s="16"/>
      <c r="J30" s="16" t="s">
        <v>26</v>
      </c>
      <c r="K30" s="16"/>
      <c r="L30" s="16"/>
      <c r="M30" s="16"/>
    </row>
    <row r="31" customFormat="false" ht="23.85" hidden="false" customHeight="false" outlineLevel="0" collapsed="false">
      <c r="A31" s="14" t="s">
        <v>278</v>
      </c>
      <c r="B31" s="14" t="s">
        <v>30</v>
      </c>
      <c r="C31" s="14" t="s">
        <v>65</v>
      </c>
      <c r="D31" s="14" t="s">
        <v>157</v>
      </c>
      <c r="E31" s="14" t="s">
        <v>168</v>
      </c>
      <c r="F31" s="14" t="s">
        <v>279</v>
      </c>
      <c r="G31" s="14" t="s">
        <v>280</v>
      </c>
      <c r="H31" s="14" t="s">
        <v>281</v>
      </c>
      <c r="I31" s="16"/>
      <c r="J31" s="16" t="s">
        <v>26</v>
      </c>
      <c r="K31" s="16"/>
      <c r="L31" s="16"/>
      <c r="M31" s="16"/>
    </row>
    <row r="32" customFormat="false" ht="23.85" hidden="false" customHeight="false" outlineLevel="0" collapsed="false">
      <c r="A32" s="14" t="s">
        <v>282</v>
      </c>
      <c r="B32" s="14" t="s">
        <v>30</v>
      </c>
      <c r="C32" s="14" t="s">
        <v>283</v>
      </c>
      <c r="D32" s="14" t="s">
        <v>157</v>
      </c>
      <c r="E32" s="14" t="s">
        <v>158</v>
      </c>
      <c r="F32" s="14" t="s">
        <v>284</v>
      </c>
      <c r="G32" s="14" t="s">
        <v>285</v>
      </c>
      <c r="H32" s="14" t="s">
        <v>286</v>
      </c>
      <c r="I32" s="16"/>
      <c r="J32" s="16" t="s">
        <v>26</v>
      </c>
      <c r="K32" s="16"/>
      <c r="L32" s="16"/>
      <c r="M32" s="16"/>
    </row>
    <row r="33" customFormat="false" ht="15" hidden="false" customHeight="false" outlineLevel="0" collapsed="false">
      <c r="A33" s="14" t="s">
        <v>287</v>
      </c>
      <c r="B33" s="14" t="s">
        <v>30</v>
      </c>
      <c r="C33" s="14" t="s">
        <v>62</v>
      </c>
      <c r="D33" s="14" t="s">
        <v>234</v>
      </c>
      <c r="E33" s="14" t="s">
        <v>158</v>
      </c>
      <c r="F33" s="14" t="s">
        <v>288</v>
      </c>
      <c r="G33" s="14" t="s">
        <v>289</v>
      </c>
      <c r="H33" s="14" t="s">
        <v>290</v>
      </c>
      <c r="I33" s="16"/>
      <c r="J33" s="16" t="s">
        <v>26</v>
      </c>
      <c r="K33" s="16"/>
      <c r="L33" s="16"/>
      <c r="M33" s="16"/>
    </row>
    <row r="34" customFormat="false" ht="15" hidden="false" customHeight="false" outlineLevel="0" collapsed="false">
      <c r="A34" s="14" t="s">
        <v>291</v>
      </c>
      <c r="B34" s="14" t="s">
        <v>30</v>
      </c>
      <c r="C34" s="14" t="s">
        <v>65</v>
      </c>
      <c r="D34" s="14" t="s">
        <v>157</v>
      </c>
      <c r="E34" s="14" t="s">
        <v>292</v>
      </c>
      <c r="F34" s="14" t="s">
        <v>293</v>
      </c>
      <c r="G34" s="14" t="s">
        <v>294</v>
      </c>
      <c r="H34" s="14" t="s">
        <v>295</v>
      </c>
      <c r="I34" s="16"/>
      <c r="J34" s="16" t="s">
        <v>26</v>
      </c>
      <c r="K34" s="16"/>
      <c r="L34" s="16"/>
      <c r="M34" s="16"/>
    </row>
    <row r="35" customFormat="false" ht="23.85" hidden="false" customHeight="false" outlineLevel="0" collapsed="false">
      <c r="A35" s="14" t="s">
        <v>296</v>
      </c>
      <c r="B35" s="14" t="s">
        <v>30</v>
      </c>
      <c r="C35" s="14" t="s">
        <v>297</v>
      </c>
      <c r="D35" s="14" t="s">
        <v>177</v>
      </c>
      <c r="E35" s="14" t="s">
        <v>158</v>
      </c>
      <c r="F35" s="14" t="s">
        <v>298</v>
      </c>
      <c r="G35" s="14" t="s">
        <v>299</v>
      </c>
      <c r="H35" s="14" t="s">
        <v>300</v>
      </c>
      <c r="I35" s="16"/>
      <c r="J35" s="16" t="s">
        <v>26</v>
      </c>
      <c r="K35" s="16"/>
      <c r="L35" s="16"/>
      <c r="M35" s="16"/>
    </row>
    <row r="36" customFormat="false" ht="15" hidden="false" customHeight="false" outlineLevel="0" collapsed="false">
      <c r="A36" s="14" t="s">
        <v>301</v>
      </c>
      <c r="B36" s="14" t="s">
        <v>31</v>
      </c>
      <c r="C36" s="14" t="s">
        <v>81</v>
      </c>
      <c r="D36" s="14" t="s">
        <v>157</v>
      </c>
      <c r="E36" s="14" t="s">
        <v>158</v>
      </c>
      <c r="F36" s="14" t="s">
        <v>302</v>
      </c>
      <c r="G36" s="14" t="s">
        <v>303</v>
      </c>
      <c r="H36" s="14" t="s">
        <v>304</v>
      </c>
      <c r="I36" s="16"/>
      <c r="J36" s="16" t="s">
        <v>26</v>
      </c>
      <c r="K36" s="16"/>
      <c r="L36" s="16"/>
      <c r="M36" s="16"/>
    </row>
    <row r="37" customFormat="false" ht="15" hidden="false" customHeight="false" outlineLevel="0" collapsed="false">
      <c r="A37" s="14" t="s">
        <v>305</v>
      </c>
      <c r="B37" s="14" t="s">
        <v>31</v>
      </c>
      <c r="C37" s="14" t="s">
        <v>81</v>
      </c>
      <c r="D37" s="14" t="s">
        <v>157</v>
      </c>
      <c r="E37" s="14" t="s">
        <v>158</v>
      </c>
      <c r="F37" s="14" t="s">
        <v>306</v>
      </c>
      <c r="G37" s="14" t="s">
        <v>307</v>
      </c>
      <c r="H37" s="14" t="s">
        <v>308</v>
      </c>
      <c r="I37" s="16"/>
      <c r="J37" s="16" t="s">
        <v>26</v>
      </c>
      <c r="K37" s="16"/>
      <c r="L37" s="16"/>
      <c r="M37" s="16"/>
    </row>
    <row r="38" customFormat="false" ht="15" hidden="false" customHeight="false" outlineLevel="0" collapsed="false">
      <c r="A38" s="14" t="s">
        <v>309</v>
      </c>
      <c r="B38" s="14" t="s">
        <v>31</v>
      </c>
      <c r="C38" s="14" t="s">
        <v>81</v>
      </c>
      <c r="D38" s="14" t="s">
        <v>157</v>
      </c>
      <c r="E38" s="14" t="s">
        <v>168</v>
      </c>
      <c r="F38" s="14" t="s">
        <v>310</v>
      </c>
      <c r="G38" s="14" t="s">
        <v>311</v>
      </c>
      <c r="H38" s="14" t="s">
        <v>312</v>
      </c>
      <c r="I38" s="16"/>
      <c r="J38" s="16" t="s">
        <v>26</v>
      </c>
      <c r="K38" s="16"/>
      <c r="L38" s="16"/>
      <c r="M38" s="16"/>
    </row>
    <row r="39" customFormat="false" ht="15" hidden="false" customHeight="false" outlineLevel="0" collapsed="false">
      <c r="A39" s="14" t="s">
        <v>313</v>
      </c>
      <c r="B39" s="14" t="s">
        <v>31</v>
      </c>
      <c r="C39" s="14" t="s">
        <v>81</v>
      </c>
      <c r="D39" s="14" t="s">
        <v>157</v>
      </c>
      <c r="E39" s="14" t="s">
        <v>158</v>
      </c>
      <c r="F39" s="14" t="s">
        <v>314</v>
      </c>
      <c r="G39" s="14" t="s">
        <v>315</v>
      </c>
      <c r="H39" s="14" t="s">
        <v>316</v>
      </c>
      <c r="I39" s="16"/>
      <c r="J39" s="16" t="s">
        <v>26</v>
      </c>
      <c r="K39" s="16"/>
      <c r="L39" s="16"/>
      <c r="M39" s="16"/>
    </row>
    <row r="40" customFormat="false" ht="15" hidden="false" customHeight="false" outlineLevel="0" collapsed="false">
      <c r="A40" s="14" t="s">
        <v>317</v>
      </c>
      <c r="B40" s="14" t="s">
        <v>31</v>
      </c>
      <c r="C40" s="14" t="s">
        <v>318</v>
      </c>
      <c r="D40" s="14" t="s">
        <v>157</v>
      </c>
      <c r="E40" s="14" t="s">
        <v>158</v>
      </c>
      <c r="F40" s="14" t="s">
        <v>319</v>
      </c>
      <c r="G40" s="14" t="s">
        <v>320</v>
      </c>
      <c r="H40" s="14" t="s">
        <v>321</v>
      </c>
      <c r="I40" s="16"/>
      <c r="J40" s="16" t="s">
        <v>26</v>
      </c>
      <c r="K40" s="16"/>
      <c r="L40" s="16"/>
      <c r="M40" s="16"/>
    </row>
    <row r="41" customFormat="false" ht="15" hidden="false" customHeight="false" outlineLevel="0" collapsed="false">
      <c r="A41" s="14" t="s">
        <v>322</v>
      </c>
      <c r="B41" s="14" t="s">
        <v>31</v>
      </c>
      <c r="C41" s="14" t="s">
        <v>318</v>
      </c>
      <c r="D41" s="14" t="s">
        <v>157</v>
      </c>
      <c r="E41" s="14" t="s">
        <v>168</v>
      </c>
      <c r="F41" s="14" t="s">
        <v>323</v>
      </c>
      <c r="G41" s="14" t="s">
        <v>324</v>
      </c>
      <c r="H41" s="14" t="s">
        <v>325</v>
      </c>
      <c r="I41" s="16"/>
      <c r="J41" s="16" t="s">
        <v>26</v>
      </c>
      <c r="K41" s="16"/>
      <c r="L41" s="16"/>
      <c r="M41" s="16"/>
    </row>
    <row r="42" customFormat="false" ht="15" hidden="false" customHeight="false" outlineLevel="0" collapsed="false">
      <c r="A42" s="14" t="s">
        <v>326</v>
      </c>
      <c r="B42" s="14" t="s">
        <v>31</v>
      </c>
      <c r="C42" s="14" t="s">
        <v>81</v>
      </c>
      <c r="D42" s="14" t="s">
        <v>234</v>
      </c>
      <c r="E42" s="14" t="s">
        <v>168</v>
      </c>
      <c r="F42" s="14" t="s">
        <v>327</v>
      </c>
      <c r="G42" s="14" t="s">
        <v>328</v>
      </c>
      <c r="H42" s="14" t="s">
        <v>329</v>
      </c>
      <c r="I42" s="16"/>
      <c r="J42" s="16" t="s">
        <v>26</v>
      </c>
      <c r="K42" s="16"/>
      <c r="L42" s="16"/>
      <c r="M42" s="16"/>
    </row>
    <row r="43" customFormat="false" ht="15" hidden="false" customHeight="false" outlineLevel="0" collapsed="false">
      <c r="A43" s="14" t="s">
        <v>330</v>
      </c>
      <c r="B43" s="14" t="s">
        <v>31</v>
      </c>
      <c r="C43" s="14" t="s">
        <v>81</v>
      </c>
      <c r="D43" s="14" t="s">
        <v>234</v>
      </c>
      <c r="E43" s="14" t="s">
        <v>292</v>
      </c>
      <c r="F43" s="14" t="s">
        <v>331</v>
      </c>
      <c r="G43" s="14" t="s">
        <v>332</v>
      </c>
      <c r="H43" s="14" t="s">
        <v>333</v>
      </c>
      <c r="I43" s="16"/>
      <c r="J43" s="16" t="s">
        <v>26</v>
      </c>
      <c r="K43" s="16"/>
      <c r="L43" s="16"/>
      <c r="M43" s="16"/>
    </row>
    <row r="44" customFormat="false" ht="15" hidden="false" customHeight="false" outlineLevel="0" collapsed="false">
      <c r="A44" s="14" t="s">
        <v>334</v>
      </c>
      <c r="B44" s="14" t="s">
        <v>31</v>
      </c>
      <c r="C44" s="14" t="s">
        <v>81</v>
      </c>
      <c r="D44" s="14" t="s">
        <v>177</v>
      </c>
      <c r="E44" s="14" t="s">
        <v>168</v>
      </c>
      <c r="F44" s="14" t="s">
        <v>335</v>
      </c>
      <c r="G44" s="14" t="s">
        <v>336</v>
      </c>
      <c r="H44" s="14" t="s">
        <v>337</v>
      </c>
      <c r="I44" s="16"/>
      <c r="J44" s="16" t="s">
        <v>26</v>
      </c>
      <c r="K44" s="16"/>
      <c r="L44" s="16"/>
      <c r="M44" s="16"/>
    </row>
    <row r="45" customFormat="false" ht="23.85" hidden="false" customHeight="false" outlineLevel="0" collapsed="false">
      <c r="A45" s="14" t="s">
        <v>338</v>
      </c>
      <c r="B45" s="14" t="s">
        <v>31</v>
      </c>
      <c r="C45" s="14" t="s">
        <v>75</v>
      </c>
      <c r="D45" s="14" t="s">
        <v>157</v>
      </c>
      <c r="E45" s="14" t="s">
        <v>158</v>
      </c>
      <c r="F45" s="14" t="s">
        <v>339</v>
      </c>
      <c r="G45" s="14" t="s">
        <v>340</v>
      </c>
      <c r="H45" s="14" t="s">
        <v>341</v>
      </c>
      <c r="I45" s="16"/>
      <c r="J45" s="16" t="s">
        <v>26</v>
      </c>
      <c r="K45" s="16"/>
      <c r="L45" s="16"/>
      <c r="M45" s="16"/>
    </row>
    <row r="46" customFormat="false" ht="23.85" hidden="false" customHeight="false" outlineLevel="0" collapsed="false">
      <c r="A46" s="14" t="s">
        <v>342</v>
      </c>
      <c r="B46" s="14" t="s">
        <v>31</v>
      </c>
      <c r="C46" s="14" t="s">
        <v>78</v>
      </c>
      <c r="D46" s="14" t="s">
        <v>157</v>
      </c>
      <c r="E46" s="14" t="s">
        <v>158</v>
      </c>
      <c r="F46" s="14" t="s">
        <v>343</v>
      </c>
      <c r="G46" s="14" t="s">
        <v>344</v>
      </c>
      <c r="H46" s="14" t="s">
        <v>345</v>
      </c>
      <c r="I46" s="16"/>
      <c r="J46" s="16" t="s">
        <v>26</v>
      </c>
      <c r="K46" s="16"/>
      <c r="L46" s="16"/>
      <c r="M46" s="16"/>
    </row>
    <row r="47" customFormat="false" ht="15" hidden="false" customHeight="false" outlineLevel="0" collapsed="false">
      <c r="A47" s="14" t="s">
        <v>346</v>
      </c>
      <c r="B47" s="14" t="s">
        <v>31</v>
      </c>
      <c r="C47" s="14" t="s">
        <v>81</v>
      </c>
      <c r="D47" s="14" t="s">
        <v>157</v>
      </c>
      <c r="E47" s="14" t="s">
        <v>168</v>
      </c>
      <c r="F47" s="14" t="s">
        <v>347</v>
      </c>
      <c r="G47" s="14" t="s">
        <v>348</v>
      </c>
      <c r="H47" s="14" t="s">
        <v>349</v>
      </c>
      <c r="I47" s="16"/>
      <c r="J47" s="16" t="s">
        <v>26</v>
      </c>
      <c r="K47" s="16"/>
      <c r="L47" s="16"/>
      <c r="M47" s="16"/>
    </row>
    <row r="48" customFormat="false" ht="23.85" hidden="false" customHeight="false" outlineLevel="0" collapsed="false">
      <c r="A48" s="14" t="s">
        <v>350</v>
      </c>
      <c r="B48" s="14" t="s">
        <v>32</v>
      </c>
      <c r="C48" s="14" t="s">
        <v>84</v>
      </c>
      <c r="D48" s="14" t="s">
        <v>157</v>
      </c>
      <c r="E48" s="14" t="s">
        <v>158</v>
      </c>
      <c r="F48" s="14" t="s">
        <v>351</v>
      </c>
      <c r="G48" s="14" t="s">
        <v>352</v>
      </c>
      <c r="H48" s="14" t="s">
        <v>353</v>
      </c>
      <c r="I48" s="16"/>
      <c r="J48" s="16" t="s">
        <v>26</v>
      </c>
      <c r="K48" s="16"/>
      <c r="L48" s="16"/>
      <c r="M48" s="16"/>
    </row>
    <row r="49" customFormat="false" ht="15" hidden="false" customHeight="false" outlineLevel="0" collapsed="false">
      <c r="A49" s="14" t="s">
        <v>354</v>
      </c>
      <c r="B49" s="14" t="s">
        <v>32</v>
      </c>
      <c r="C49" s="14" t="s">
        <v>355</v>
      </c>
      <c r="D49" s="14" t="s">
        <v>157</v>
      </c>
      <c r="E49" s="14" t="s">
        <v>158</v>
      </c>
      <c r="F49" s="14" t="s">
        <v>356</v>
      </c>
      <c r="G49" s="14" t="s">
        <v>357</v>
      </c>
      <c r="H49" s="14" t="s">
        <v>358</v>
      </c>
      <c r="I49" s="16"/>
      <c r="J49" s="16" t="s">
        <v>26</v>
      </c>
      <c r="K49" s="16"/>
      <c r="L49" s="16"/>
      <c r="M49" s="16"/>
    </row>
    <row r="50" customFormat="false" ht="15" hidden="false" customHeight="false" outlineLevel="0" collapsed="false">
      <c r="A50" s="14" t="s">
        <v>359</v>
      </c>
      <c r="B50" s="14" t="s">
        <v>32</v>
      </c>
      <c r="C50" s="14" t="s">
        <v>87</v>
      </c>
      <c r="D50" s="14" t="s">
        <v>157</v>
      </c>
      <c r="E50" s="14" t="s">
        <v>158</v>
      </c>
      <c r="F50" s="14" t="s">
        <v>360</v>
      </c>
      <c r="G50" s="14" t="s">
        <v>361</v>
      </c>
      <c r="H50" s="14" t="s">
        <v>362</v>
      </c>
      <c r="I50" s="16"/>
      <c r="J50" s="16" t="s">
        <v>26</v>
      </c>
      <c r="K50" s="16"/>
      <c r="L50" s="16"/>
      <c r="M50" s="16"/>
    </row>
    <row r="51" customFormat="false" ht="23.85" hidden="false" customHeight="false" outlineLevel="0" collapsed="false">
      <c r="A51" s="14" t="s">
        <v>363</v>
      </c>
      <c r="B51" s="14" t="s">
        <v>32</v>
      </c>
      <c r="C51" s="14" t="s">
        <v>364</v>
      </c>
      <c r="D51" s="14" t="s">
        <v>163</v>
      </c>
      <c r="E51" s="14" t="s">
        <v>158</v>
      </c>
      <c r="F51" s="14" t="s">
        <v>365</v>
      </c>
      <c r="G51" s="14" t="s">
        <v>366</v>
      </c>
      <c r="H51" s="14" t="s">
        <v>367</v>
      </c>
      <c r="I51" s="16"/>
      <c r="J51" s="16" t="s">
        <v>26</v>
      </c>
      <c r="K51" s="16"/>
      <c r="L51" s="16"/>
      <c r="M51" s="16"/>
    </row>
    <row r="52" customFormat="false" ht="15" hidden="false" customHeight="false" outlineLevel="0" collapsed="false">
      <c r="A52" s="14" t="s">
        <v>368</v>
      </c>
      <c r="B52" s="14" t="s">
        <v>32</v>
      </c>
      <c r="C52" s="14" t="s">
        <v>364</v>
      </c>
      <c r="D52" s="14" t="s">
        <v>163</v>
      </c>
      <c r="E52" s="14" t="s">
        <v>158</v>
      </c>
      <c r="F52" s="14" t="s">
        <v>369</v>
      </c>
      <c r="G52" s="14" t="s">
        <v>370</v>
      </c>
      <c r="H52" s="14" t="s">
        <v>371</v>
      </c>
      <c r="I52" s="16"/>
      <c r="J52" s="16" t="s">
        <v>26</v>
      </c>
      <c r="K52" s="16"/>
      <c r="L52" s="16"/>
      <c r="M52" s="16"/>
    </row>
    <row r="53" customFormat="false" ht="23.85" hidden="false" customHeight="false" outlineLevel="0" collapsed="false">
      <c r="A53" s="14" t="s">
        <v>372</v>
      </c>
      <c r="B53" s="14" t="s">
        <v>32</v>
      </c>
      <c r="C53" s="14" t="s">
        <v>373</v>
      </c>
      <c r="D53" s="14" t="s">
        <v>163</v>
      </c>
      <c r="E53" s="14" t="s">
        <v>158</v>
      </c>
      <c r="F53" s="14" t="s">
        <v>374</v>
      </c>
      <c r="G53" s="14" t="s">
        <v>375</v>
      </c>
      <c r="H53" s="14" t="s">
        <v>376</v>
      </c>
      <c r="I53" s="16"/>
      <c r="J53" s="16" t="s">
        <v>26</v>
      </c>
      <c r="K53" s="16"/>
      <c r="L53" s="16"/>
      <c r="M53" s="16"/>
    </row>
    <row r="54" customFormat="false" ht="15" hidden="false" customHeight="false" outlineLevel="0" collapsed="false">
      <c r="A54" s="14" t="s">
        <v>377</v>
      </c>
      <c r="B54" s="14" t="s">
        <v>32</v>
      </c>
      <c r="C54" s="14" t="s">
        <v>378</v>
      </c>
      <c r="D54" s="14" t="s">
        <v>163</v>
      </c>
      <c r="E54" s="14" t="s">
        <v>158</v>
      </c>
      <c r="F54" s="14" t="s">
        <v>379</v>
      </c>
      <c r="G54" s="14" t="s">
        <v>380</v>
      </c>
      <c r="H54" s="14" t="s">
        <v>381</v>
      </c>
      <c r="I54" s="16"/>
      <c r="J54" s="16" t="s">
        <v>26</v>
      </c>
      <c r="K54" s="16"/>
      <c r="L54" s="16"/>
      <c r="M54" s="16"/>
    </row>
    <row r="55" customFormat="false" ht="23.85" hidden="false" customHeight="false" outlineLevel="0" collapsed="false">
      <c r="A55" s="14" t="s">
        <v>382</v>
      </c>
      <c r="B55" s="14" t="s">
        <v>32</v>
      </c>
      <c r="C55" s="14" t="s">
        <v>383</v>
      </c>
      <c r="D55" s="14" t="s">
        <v>234</v>
      </c>
      <c r="E55" s="14" t="s">
        <v>158</v>
      </c>
      <c r="F55" s="14" t="s">
        <v>384</v>
      </c>
      <c r="G55" s="14" t="s">
        <v>385</v>
      </c>
      <c r="H55" s="14" t="s">
        <v>386</v>
      </c>
      <c r="I55" s="16"/>
      <c r="J55" s="16" t="s">
        <v>26</v>
      </c>
      <c r="K55" s="16"/>
      <c r="L55" s="16"/>
      <c r="M55" s="16"/>
    </row>
    <row r="56" customFormat="false" ht="15" hidden="false" customHeight="false" outlineLevel="0" collapsed="false">
      <c r="A56" s="14" t="s">
        <v>387</v>
      </c>
      <c r="B56" s="14" t="s">
        <v>32</v>
      </c>
      <c r="C56" s="14" t="s">
        <v>373</v>
      </c>
      <c r="D56" s="14" t="s">
        <v>157</v>
      </c>
      <c r="E56" s="14" t="s">
        <v>158</v>
      </c>
      <c r="F56" s="14" t="s">
        <v>388</v>
      </c>
      <c r="G56" s="14" t="s">
        <v>389</v>
      </c>
      <c r="H56" s="14" t="s">
        <v>390</v>
      </c>
      <c r="I56" s="16"/>
      <c r="J56" s="16" t="s">
        <v>26</v>
      </c>
      <c r="K56" s="16"/>
      <c r="L56" s="16"/>
      <c r="M56" s="16"/>
    </row>
    <row r="57" customFormat="false" ht="23.85" hidden="false" customHeight="false" outlineLevel="0" collapsed="false">
      <c r="A57" s="14" t="s">
        <v>391</v>
      </c>
      <c r="B57" s="14" t="s">
        <v>32</v>
      </c>
      <c r="C57" s="14" t="s">
        <v>373</v>
      </c>
      <c r="D57" s="14" t="s">
        <v>157</v>
      </c>
      <c r="E57" s="14" t="s">
        <v>168</v>
      </c>
      <c r="F57" s="14" t="s">
        <v>392</v>
      </c>
      <c r="G57" s="14" t="s">
        <v>393</v>
      </c>
      <c r="H57" s="14" t="s">
        <v>390</v>
      </c>
      <c r="I57" s="16"/>
      <c r="J57" s="16" t="s">
        <v>26</v>
      </c>
      <c r="K57" s="16"/>
      <c r="L57" s="16"/>
      <c r="M57" s="16"/>
    </row>
    <row r="58" customFormat="false" ht="15" hidden="false" customHeight="false" outlineLevel="0" collapsed="false">
      <c r="A58" s="14" t="s">
        <v>394</v>
      </c>
      <c r="B58" s="14" t="s">
        <v>32</v>
      </c>
      <c r="C58" s="14" t="s">
        <v>395</v>
      </c>
      <c r="D58" s="14" t="s">
        <v>163</v>
      </c>
      <c r="E58" s="14" t="s">
        <v>168</v>
      </c>
      <c r="F58" s="14" t="s">
        <v>396</v>
      </c>
      <c r="G58" s="14" t="s">
        <v>397</v>
      </c>
      <c r="H58" s="14" t="s">
        <v>398</v>
      </c>
      <c r="I58" s="16"/>
      <c r="J58" s="16" t="s">
        <v>26</v>
      </c>
      <c r="K58" s="16"/>
      <c r="L58" s="16"/>
      <c r="M58" s="16"/>
    </row>
    <row r="59" customFormat="false" ht="15" hidden="false" customHeight="false" outlineLevel="0" collapsed="false">
      <c r="A59" s="14" t="s">
        <v>399</v>
      </c>
      <c r="B59" s="14" t="s">
        <v>32</v>
      </c>
      <c r="C59" s="14" t="s">
        <v>395</v>
      </c>
      <c r="D59" s="14" t="s">
        <v>163</v>
      </c>
      <c r="E59" s="14" t="s">
        <v>168</v>
      </c>
      <c r="F59" s="14" t="s">
        <v>400</v>
      </c>
      <c r="G59" s="14" t="s">
        <v>401</v>
      </c>
      <c r="H59" s="14" t="s">
        <v>402</v>
      </c>
      <c r="I59" s="16"/>
      <c r="J59" s="16" t="s">
        <v>26</v>
      </c>
      <c r="K59" s="16"/>
      <c r="L59" s="16"/>
      <c r="M59" s="16"/>
    </row>
    <row r="60" customFormat="false" ht="15" hidden="false" customHeight="false" outlineLevel="0" collapsed="false">
      <c r="A60" s="14" t="s">
        <v>403</v>
      </c>
      <c r="B60" s="14" t="s">
        <v>32</v>
      </c>
      <c r="C60" s="14" t="s">
        <v>404</v>
      </c>
      <c r="D60" s="14" t="s">
        <v>157</v>
      </c>
      <c r="E60" s="14" t="s">
        <v>168</v>
      </c>
      <c r="F60" s="14" t="s">
        <v>405</v>
      </c>
      <c r="G60" s="14" t="s">
        <v>406</v>
      </c>
      <c r="H60" s="14" t="s">
        <v>407</v>
      </c>
      <c r="I60" s="16"/>
      <c r="J60" s="16" t="s">
        <v>26</v>
      </c>
      <c r="K60" s="16"/>
      <c r="L60" s="16"/>
      <c r="M60" s="16"/>
    </row>
    <row r="61" customFormat="false" ht="15" hidden="false" customHeight="false" outlineLevel="0" collapsed="false">
      <c r="A61" s="14" t="s">
        <v>408</v>
      </c>
      <c r="B61" s="14" t="s">
        <v>32</v>
      </c>
      <c r="C61" s="14" t="s">
        <v>93</v>
      </c>
      <c r="D61" s="14" t="s">
        <v>234</v>
      </c>
      <c r="E61" s="14" t="s">
        <v>158</v>
      </c>
      <c r="F61" s="14" t="s">
        <v>409</v>
      </c>
      <c r="G61" s="14" t="s">
        <v>410</v>
      </c>
      <c r="H61" s="14" t="s">
        <v>411</v>
      </c>
      <c r="I61" s="16"/>
      <c r="J61" s="16" t="s">
        <v>26</v>
      </c>
      <c r="K61" s="16"/>
      <c r="L61" s="16"/>
      <c r="M61" s="16"/>
    </row>
    <row r="62" customFormat="false" ht="23.85" hidden="false" customHeight="false" outlineLevel="0" collapsed="false">
      <c r="A62" s="14" t="s">
        <v>412</v>
      </c>
      <c r="B62" s="14" t="s">
        <v>32</v>
      </c>
      <c r="C62" s="14" t="s">
        <v>93</v>
      </c>
      <c r="D62" s="14" t="s">
        <v>234</v>
      </c>
      <c r="E62" s="14" t="s">
        <v>158</v>
      </c>
      <c r="F62" s="14" t="s">
        <v>413</v>
      </c>
      <c r="G62" s="14" t="s">
        <v>414</v>
      </c>
      <c r="H62" s="14" t="s">
        <v>415</v>
      </c>
      <c r="I62" s="16"/>
      <c r="J62" s="16" t="s">
        <v>26</v>
      </c>
      <c r="K62" s="16"/>
      <c r="L62" s="16"/>
      <c r="M62" s="16"/>
    </row>
    <row r="63" customFormat="false" ht="23.85" hidden="false" customHeight="false" outlineLevel="0" collapsed="false">
      <c r="A63" s="14" t="s">
        <v>416</v>
      </c>
      <c r="B63" s="14" t="s">
        <v>32</v>
      </c>
      <c r="C63" s="14" t="s">
        <v>373</v>
      </c>
      <c r="D63" s="14" t="s">
        <v>234</v>
      </c>
      <c r="E63" s="14" t="s">
        <v>168</v>
      </c>
      <c r="F63" s="14" t="s">
        <v>417</v>
      </c>
      <c r="G63" s="14" t="s">
        <v>418</v>
      </c>
      <c r="H63" s="14" t="s">
        <v>419</v>
      </c>
      <c r="I63" s="16"/>
      <c r="J63" s="16" t="s">
        <v>26</v>
      </c>
      <c r="K63" s="16"/>
      <c r="L63" s="16"/>
      <c r="M63" s="16"/>
    </row>
    <row r="64" customFormat="false" ht="23.85" hidden="false" customHeight="false" outlineLevel="0" collapsed="false">
      <c r="A64" s="14" t="s">
        <v>420</v>
      </c>
      <c r="B64" s="14" t="s">
        <v>32</v>
      </c>
      <c r="C64" s="14" t="s">
        <v>93</v>
      </c>
      <c r="D64" s="14" t="s">
        <v>234</v>
      </c>
      <c r="E64" s="14" t="s">
        <v>158</v>
      </c>
      <c r="F64" s="14" t="s">
        <v>421</v>
      </c>
      <c r="G64" s="14" t="s">
        <v>422</v>
      </c>
      <c r="H64" s="14" t="s">
        <v>423</v>
      </c>
      <c r="I64" s="16"/>
      <c r="J64" s="16" t="s">
        <v>26</v>
      </c>
      <c r="K64" s="16"/>
      <c r="L64" s="16"/>
      <c r="M64" s="16"/>
    </row>
    <row r="65" customFormat="false" ht="15" hidden="false" customHeight="false" outlineLevel="0" collapsed="false">
      <c r="A65" s="14" t="s">
        <v>424</v>
      </c>
      <c r="B65" s="14" t="s">
        <v>32</v>
      </c>
      <c r="C65" s="14" t="s">
        <v>425</v>
      </c>
      <c r="D65" s="14" t="s">
        <v>177</v>
      </c>
      <c r="E65" s="14" t="s">
        <v>158</v>
      </c>
      <c r="F65" s="14" t="s">
        <v>426</v>
      </c>
      <c r="G65" s="14" t="s">
        <v>427</v>
      </c>
      <c r="H65" s="14" t="s">
        <v>428</v>
      </c>
      <c r="I65" s="16"/>
      <c r="J65" s="16" t="s">
        <v>26</v>
      </c>
      <c r="K65" s="16"/>
      <c r="L65" s="16"/>
      <c r="M65" s="16"/>
    </row>
    <row r="66" customFormat="false" ht="23.85" hidden="false" customHeight="false" outlineLevel="0" collapsed="false">
      <c r="A66" s="14" t="s">
        <v>429</v>
      </c>
      <c r="B66" s="14" t="s">
        <v>33</v>
      </c>
      <c r="C66" s="14" t="s">
        <v>98</v>
      </c>
      <c r="D66" s="14" t="s">
        <v>157</v>
      </c>
      <c r="E66" s="14" t="s">
        <v>158</v>
      </c>
      <c r="F66" s="14" t="s">
        <v>430</v>
      </c>
      <c r="G66" s="14" t="s">
        <v>431</v>
      </c>
      <c r="H66" s="14" t="s">
        <v>432</v>
      </c>
      <c r="I66" s="16"/>
      <c r="J66" s="16" t="s">
        <v>26</v>
      </c>
      <c r="K66" s="16"/>
      <c r="L66" s="16"/>
      <c r="M66" s="16"/>
    </row>
    <row r="67" customFormat="false" ht="15" hidden="false" customHeight="false" outlineLevel="0" collapsed="false">
      <c r="A67" s="14" t="s">
        <v>433</v>
      </c>
      <c r="B67" s="14" t="s">
        <v>33</v>
      </c>
      <c r="C67" s="14" t="s">
        <v>434</v>
      </c>
      <c r="D67" s="14" t="s">
        <v>234</v>
      </c>
      <c r="E67" s="14" t="s">
        <v>158</v>
      </c>
      <c r="F67" s="14" t="s">
        <v>435</v>
      </c>
      <c r="G67" s="14" t="s">
        <v>436</v>
      </c>
      <c r="H67" s="14" t="s">
        <v>437</v>
      </c>
      <c r="I67" s="16"/>
      <c r="J67" s="16" t="s">
        <v>26</v>
      </c>
      <c r="K67" s="16"/>
      <c r="L67" s="16"/>
      <c r="M67" s="16"/>
    </row>
    <row r="68" customFormat="false" ht="15" hidden="false" customHeight="false" outlineLevel="0" collapsed="false">
      <c r="A68" s="14" t="s">
        <v>438</v>
      </c>
      <c r="B68" s="14" t="s">
        <v>33</v>
      </c>
      <c r="C68" s="14" t="s">
        <v>434</v>
      </c>
      <c r="D68" s="14" t="s">
        <v>234</v>
      </c>
      <c r="E68" s="14" t="s">
        <v>158</v>
      </c>
      <c r="F68" s="14" t="s">
        <v>439</v>
      </c>
      <c r="G68" s="14" t="s">
        <v>440</v>
      </c>
      <c r="H68" s="14" t="s">
        <v>441</v>
      </c>
      <c r="I68" s="16"/>
      <c r="J68" s="16" t="s">
        <v>26</v>
      </c>
      <c r="K68" s="16"/>
      <c r="L68" s="16"/>
      <c r="M68" s="16"/>
    </row>
    <row r="69" customFormat="false" ht="15" hidden="false" customHeight="false" outlineLevel="0" collapsed="false">
      <c r="A69" s="14" t="s">
        <v>442</v>
      </c>
      <c r="B69" s="14" t="s">
        <v>33</v>
      </c>
      <c r="C69" s="14" t="s">
        <v>434</v>
      </c>
      <c r="D69" s="14" t="s">
        <v>157</v>
      </c>
      <c r="E69" s="14" t="s">
        <v>158</v>
      </c>
      <c r="F69" s="14" t="s">
        <v>443</v>
      </c>
      <c r="G69" s="14" t="s">
        <v>444</v>
      </c>
      <c r="H69" s="14" t="s">
        <v>445</v>
      </c>
      <c r="I69" s="16"/>
      <c r="J69" s="16" t="s">
        <v>26</v>
      </c>
      <c r="K69" s="16"/>
      <c r="L69" s="16"/>
      <c r="M69" s="16"/>
    </row>
    <row r="70" customFormat="false" ht="15" hidden="false" customHeight="false" outlineLevel="0" collapsed="false">
      <c r="A70" s="14" t="s">
        <v>446</v>
      </c>
      <c r="B70" s="14" t="s">
        <v>33</v>
      </c>
      <c r="C70" s="14" t="s">
        <v>434</v>
      </c>
      <c r="D70" s="14" t="s">
        <v>234</v>
      </c>
      <c r="E70" s="14" t="s">
        <v>168</v>
      </c>
      <c r="F70" s="14" t="s">
        <v>447</v>
      </c>
      <c r="G70" s="14" t="s">
        <v>448</v>
      </c>
      <c r="H70" s="14" t="s">
        <v>449</v>
      </c>
      <c r="I70" s="16"/>
      <c r="J70" s="16" t="s">
        <v>26</v>
      </c>
      <c r="K70" s="16"/>
      <c r="L70" s="16"/>
      <c r="M70" s="16"/>
    </row>
    <row r="71" customFormat="false" ht="15" hidden="false" customHeight="false" outlineLevel="0" collapsed="false">
      <c r="A71" s="14" t="s">
        <v>450</v>
      </c>
      <c r="B71" s="14" t="s">
        <v>33</v>
      </c>
      <c r="C71" s="14" t="s">
        <v>87</v>
      </c>
      <c r="D71" s="14" t="s">
        <v>157</v>
      </c>
      <c r="E71" s="14" t="s">
        <v>158</v>
      </c>
      <c r="F71" s="14" t="s">
        <v>451</v>
      </c>
      <c r="G71" s="14" t="s">
        <v>452</v>
      </c>
      <c r="H71" s="14" t="s">
        <v>453</v>
      </c>
      <c r="I71" s="16"/>
      <c r="J71" s="16" t="s">
        <v>26</v>
      </c>
      <c r="K71" s="16"/>
      <c r="L71" s="16"/>
      <c r="M71" s="16"/>
    </row>
    <row r="72" customFormat="false" ht="15" hidden="false" customHeight="false" outlineLevel="0" collapsed="false">
      <c r="A72" s="14" t="s">
        <v>454</v>
      </c>
      <c r="B72" s="14" t="s">
        <v>33</v>
      </c>
      <c r="C72" s="14" t="s">
        <v>93</v>
      </c>
      <c r="D72" s="14" t="s">
        <v>234</v>
      </c>
      <c r="E72" s="14" t="s">
        <v>168</v>
      </c>
      <c r="F72" s="14" t="s">
        <v>455</v>
      </c>
      <c r="G72" s="14" t="s">
        <v>456</v>
      </c>
      <c r="H72" s="14" t="s">
        <v>457</v>
      </c>
      <c r="I72" s="16"/>
      <c r="J72" s="16" t="s">
        <v>26</v>
      </c>
      <c r="K72" s="16"/>
      <c r="L72" s="16"/>
      <c r="M72" s="16"/>
    </row>
    <row r="73" customFormat="false" ht="23.85" hidden="false" customHeight="false" outlineLevel="0" collapsed="false">
      <c r="A73" s="14" t="s">
        <v>458</v>
      </c>
      <c r="B73" s="14" t="s">
        <v>33</v>
      </c>
      <c r="C73" s="14" t="s">
        <v>106</v>
      </c>
      <c r="D73" s="14" t="s">
        <v>163</v>
      </c>
      <c r="E73" s="14" t="s">
        <v>158</v>
      </c>
      <c r="F73" s="14" t="s">
        <v>459</v>
      </c>
      <c r="G73" s="14" t="s">
        <v>460</v>
      </c>
      <c r="H73" s="14" t="s">
        <v>461</v>
      </c>
      <c r="I73" s="16"/>
      <c r="J73" s="16" t="s">
        <v>26</v>
      </c>
      <c r="K73" s="16"/>
      <c r="L73" s="16"/>
      <c r="M73" s="16"/>
    </row>
    <row r="74" customFormat="false" ht="23.85" hidden="false" customHeight="false" outlineLevel="0" collapsed="false">
      <c r="A74" s="14" t="s">
        <v>462</v>
      </c>
      <c r="B74" s="14" t="s">
        <v>33</v>
      </c>
      <c r="C74" s="14" t="s">
        <v>106</v>
      </c>
      <c r="D74" s="14" t="s">
        <v>163</v>
      </c>
      <c r="E74" s="14" t="s">
        <v>168</v>
      </c>
      <c r="F74" s="14" t="s">
        <v>463</v>
      </c>
      <c r="G74" s="14" t="s">
        <v>464</v>
      </c>
      <c r="H74" s="14" t="s">
        <v>465</v>
      </c>
      <c r="I74" s="16"/>
      <c r="J74" s="16" t="s">
        <v>26</v>
      </c>
      <c r="K74" s="16"/>
      <c r="L74" s="16"/>
      <c r="M74" s="16"/>
    </row>
    <row r="75" customFormat="false" ht="15" hidden="false" customHeight="false" outlineLevel="0" collapsed="false">
      <c r="A75" s="14" t="s">
        <v>466</v>
      </c>
      <c r="B75" s="14" t="s">
        <v>33</v>
      </c>
      <c r="C75" s="14" t="s">
        <v>467</v>
      </c>
      <c r="D75" s="14" t="s">
        <v>157</v>
      </c>
      <c r="E75" s="14" t="s">
        <v>158</v>
      </c>
      <c r="F75" s="14" t="s">
        <v>468</v>
      </c>
      <c r="G75" s="14" t="s">
        <v>469</v>
      </c>
      <c r="H75" s="14" t="s">
        <v>470</v>
      </c>
      <c r="I75" s="16"/>
      <c r="J75" s="16" t="s">
        <v>26</v>
      </c>
      <c r="K75" s="16"/>
      <c r="L75" s="16"/>
      <c r="M75" s="16"/>
    </row>
    <row r="76" customFormat="false" ht="15" hidden="false" customHeight="false" outlineLevel="0" collapsed="false">
      <c r="A76" s="14" t="s">
        <v>471</v>
      </c>
      <c r="B76" s="14" t="s">
        <v>33</v>
      </c>
      <c r="C76" s="14" t="s">
        <v>472</v>
      </c>
      <c r="D76" s="14" t="s">
        <v>177</v>
      </c>
      <c r="E76" s="14" t="s">
        <v>158</v>
      </c>
      <c r="F76" s="14" t="s">
        <v>473</v>
      </c>
      <c r="G76" s="14" t="s">
        <v>474</v>
      </c>
      <c r="H76" s="14" t="s">
        <v>428</v>
      </c>
      <c r="I76" s="16"/>
      <c r="J76" s="16" t="s">
        <v>26</v>
      </c>
      <c r="K76" s="16"/>
      <c r="L76" s="16"/>
      <c r="M76" s="16"/>
    </row>
    <row r="77" customFormat="false" ht="23.85" hidden="false" customHeight="false" outlineLevel="0" collapsed="false">
      <c r="A77" s="14" t="s">
        <v>475</v>
      </c>
      <c r="B77" s="14" t="s">
        <v>34</v>
      </c>
      <c r="C77" s="14" t="s">
        <v>109</v>
      </c>
      <c r="D77" s="14" t="s">
        <v>157</v>
      </c>
      <c r="E77" s="14" t="s">
        <v>158</v>
      </c>
      <c r="F77" s="14" t="s">
        <v>476</v>
      </c>
      <c r="G77" s="14" t="s">
        <v>477</v>
      </c>
      <c r="H77" s="14" t="s">
        <v>478</v>
      </c>
      <c r="I77" s="16"/>
      <c r="J77" s="16" t="s">
        <v>26</v>
      </c>
      <c r="K77" s="16"/>
      <c r="L77" s="16"/>
      <c r="M77" s="16"/>
    </row>
    <row r="78" customFormat="false" ht="15" hidden="false" customHeight="false" outlineLevel="0" collapsed="false">
      <c r="A78" s="14" t="s">
        <v>479</v>
      </c>
      <c r="B78" s="14" t="s">
        <v>34</v>
      </c>
      <c r="C78" s="14" t="s">
        <v>112</v>
      </c>
      <c r="D78" s="14" t="s">
        <v>157</v>
      </c>
      <c r="E78" s="14" t="s">
        <v>158</v>
      </c>
      <c r="F78" s="14" t="s">
        <v>480</v>
      </c>
      <c r="G78" s="14" t="s">
        <v>481</v>
      </c>
      <c r="H78" s="14" t="s">
        <v>482</v>
      </c>
      <c r="I78" s="16"/>
      <c r="J78" s="16" t="s">
        <v>26</v>
      </c>
      <c r="K78" s="16"/>
      <c r="L78" s="16"/>
      <c r="M78" s="16"/>
    </row>
    <row r="79" customFormat="false" ht="15" hidden="false" customHeight="false" outlineLevel="0" collapsed="false">
      <c r="A79" s="14" t="s">
        <v>483</v>
      </c>
      <c r="B79" s="14" t="s">
        <v>34</v>
      </c>
      <c r="C79" s="14" t="s">
        <v>112</v>
      </c>
      <c r="D79" s="14" t="s">
        <v>163</v>
      </c>
      <c r="E79" s="14" t="s">
        <v>158</v>
      </c>
      <c r="F79" s="14" t="s">
        <v>484</v>
      </c>
      <c r="G79" s="14" t="s">
        <v>485</v>
      </c>
      <c r="H79" s="14" t="s">
        <v>486</v>
      </c>
      <c r="I79" s="16"/>
      <c r="J79" s="16" t="s">
        <v>26</v>
      </c>
      <c r="K79" s="16"/>
      <c r="L79" s="16"/>
      <c r="M79" s="16"/>
    </row>
    <row r="80" customFormat="false" ht="15" hidden="false" customHeight="false" outlineLevel="0" collapsed="false">
      <c r="A80" s="14" t="s">
        <v>487</v>
      </c>
      <c r="B80" s="14" t="s">
        <v>34</v>
      </c>
      <c r="C80" s="14" t="s">
        <v>112</v>
      </c>
      <c r="D80" s="14" t="s">
        <v>157</v>
      </c>
      <c r="E80" s="14" t="s">
        <v>168</v>
      </c>
      <c r="F80" s="14" t="s">
        <v>488</v>
      </c>
      <c r="G80" s="14" t="s">
        <v>489</v>
      </c>
      <c r="H80" s="14" t="s">
        <v>490</v>
      </c>
      <c r="I80" s="16"/>
      <c r="J80" s="16" t="s">
        <v>26</v>
      </c>
      <c r="K80" s="16"/>
      <c r="L80" s="16"/>
      <c r="M80" s="16"/>
    </row>
    <row r="81" customFormat="false" ht="15" hidden="false" customHeight="false" outlineLevel="0" collapsed="false">
      <c r="A81" s="14" t="s">
        <v>491</v>
      </c>
      <c r="B81" s="14" t="s">
        <v>34</v>
      </c>
      <c r="C81" s="14" t="s">
        <v>109</v>
      </c>
      <c r="D81" s="14" t="s">
        <v>157</v>
      </c>
      <c r="E81" s="14" t="s">
        <v>168</v>
      </c>
      <c r="F81" s="14" t="s">
        <v>492</v>
      </c>
      <c r="G81" s="14" t="s">
        <v>493</v>
      </c>
      <c r="H81" s="14" t="s">
        <v>494</v>
      </c>
      <c r="I81" s="16"/>
      <c r="J81" s="16" t="s">
        <v>26</v>
      </c>
      <c r="K81" s="16"/>
      <c r="L81" s="16"/>
      <c r="M81" s="16"/>
    </row>
    <row r="82" customFormat="false" ht="15" hidden="false" customHeight="false" outlineLevel="0" collapsed="false">
      <c r="A82" s="14" t="s">
        <v>495</v>
      </c>
      <c r="B82" s="14" t="s">
        <v>34</v>
      </c>
      <c r="C82" s="14" t="s">
        <v>496</v>
      </c>
      <c r="D82" s="14" t="s">
        <v>177</v>
      </c>
      <c r="E82" s="14" t="s">
        <v>158</v>
      </c>
      <c r="F82" s="14" t="s">
        <v>497</v>
      </c>
      <c r="G82" s="14" t="s">
        <v>498</v>
      </c>
      <c r="H82" s="14" t="s">
        <v>499</v>
      </c>
      <c r="I82" s="16"/>
      <c r="J82" s="16" t="s">
        <v>26</v>
      </c>
      <c r="K82" s="16"/>
      <c r="L82" s="16"/>
      <c r="M82" s="16"/>
    </row>
    <row r="83" customFormat="false" ht="23.85" hidden="false" customHeight="false" outlineLevel="0" collapsed="false">
      <c r="A83" s="14" t="s">
        <v>500</v>
      </c>
      <c r="B83" s="14" t="s">
        <v>34</v>
      </c>
      <c r="C83" s="14" t="s">
        <v>373</v>
      </c>
      <c r="D83" s="14" t="s">
        <v>157</v>
      </c>
      <c r="E83" s="14" t="s">
        <v>168</v>
      </c>
      <c r="F83" s="14" t="s">
        <v>501</v>
      </c>
      <c r="G83" s="14" t="s">
        <v>502</v>
      </c>
      <c r="H83" s="14" t="s">
        <v>503</v>
      </c>
      <c r="I83" s="16"/>
      <c r="J83" s="16" t="s">
        <v>26</v>
      </c>
      <c r="K83" s="16"/>
      <c r="L83" s="16"/>
      <c r="M83" s="16"/>
    </row>
    <row r="84" customFormat="false" ht="15" hidden="false" customHeight="false" outlineLevel="0" collapsed="false">
      <c r="A84" s="14" t="s">
        <v>504</v>
      </c>
      <c r="B84" s="14" t="s">
        <v>35</v>
      </c>
      <c r="C84" s="14" t="s">
        <v>45</v>
      </c>
      <c r="D84" s="14" t="s">
        <v>157</v>
      </c>
      <c r="E84" s="14" t="s">
        <v>158</v>
      </c>
      <c r="F84" s="14" t="s">
        <v>505</v>
      </c>
      <c r="G84" s="14" t="s">
        <v>506</v>
      </c>
      <c r="H84" s="14" t="s">
        <v>507</v>
      </c>
      <c r="I84" s="16"/>
      <c r="J84" s="16" t="s">
        <v>26</v>
      </c>
      <c r="K84" s="16"/>
      <c r="L84" s="16"/>
      <c r="M84" s="16"/>
    </row>
    <row r="85" customFormat="false" ht="15" hidden="false" customHeight="false" outlineLevel="0" collapsed="false">
      <c r="A85" s="14" t="s">
        <v>508</v>
      </c>
      <c r="B85" s="14" t="s">
        <v>35</v>
      </c>
      <c r="C85" s="14" t="s">
        <v>45</v>
      </c>
      <c r="D85" s="14" t="s">
        <v>157</v>
      </c>
      <c r="E85" s="14" t="s">
        <v>168</v>
      </c>
      <c r="F85" s="14" t="s">
        <v>509</v>
      </c>
      <c r="G85" s="14" t="s">
        <v>510</v>
      </c>
      <c r="H85" s="14" t="s">
        <v>511</v>
      </c>
      <c r="I85" s="16"/>
      <c r="J85" s="16" t="s">
        <v>26</v>
      </c>
      <c r="K85" s="16"/>
      <c r="L85" s="16"/>
      <c r="M85" s="16"/>
    </row>
    <row r="86" customFormat="false" ht="15" hidden="false" customHeight="false" outlineLevel="0" collapsed="false">
      <c r="A86" s="14" t="s">
        <v>512</v>
      </c>
      <c r="B86" s="14" t="s">
        <v>35</v>
      </c>
      <c r="C86" s="14" t="s">
        <v>45</v>
      </c>
      <c r="D86" s="14" t="s">
        <v>157</v>
      </c>
      <c r="E86" s="14" t="s">
        <v>158</v>
      </c>
      <c r="F86" s="14" t="s">
        <v>513</v>
      </c>
      <c r="G86" s="14" t="s">
        <v>514</v>
      </c>
      <c r="H86" s="14" t="s">
        <v>515</v>
      </c>
      <c r="I86" s="16"/>
      <c r="J86" s="16" t="s">
        <v>26</v>
      </c>
      <c r="K86" s="16"/>
      <c r="L86" s="16"/>
      <c r="M86" s="16"/>
    </row>
    <row r="87" customFormat="false" ht="15" hidden="false" customHeight="false" outlineLevel="0" collapsed="false">
      <c r="A87" s="14" t="s">
        <v>516</v>
      </c>
      <c r="B87" s="14" t="s">
        <v>35</v>
      </c>
      <c r="C87" s="14" t="s">
        <v>45</v>
      </c>
      <c r="D87" s="14" t="s">
        <v>157</v>
      </c>
      <c r="E87" s="14" t="s">
        <v>168</v>
      </c>
      <c r="F87" s="14" t="s">
        <v>517</v>
      </c>
      <c r="G87" s="14" t="s">
        <v>518</v>
      </c>
      <c r="H87" s="14" t="s">
        <v>519</v>
      </c>
      <c r="I87" s="16"/>
      <c r="J87" s="16" t="s">
        <v>26</v>
      </c>
      <c r="K87" s="16"/>
      <c r="L87" s="16"/>
      <c r="M87" s="16"/>
    </row>
    <row r="88" customFormat="false" ht="15" hidden="false" customHeight="false" outlineLevel="0" collapsed="false">
      <c r="A88" s="14" t="s">
        <v>520</v>
      </c>
      <c r="B88" s="14" t="s">
        <v>35</v>
      </c>
      <c r="C88" s="14" t="s">
        <v>45</v>
      </c>
      <c r="D88" s="14" t="s">
        <v>234</v>
      </c>
      <c r="E88" s="14" t="s">
        <v>292</v>
      </c>
      <c r="F88" s="14" t="s">
        <v>521</v>
      </c>
      <c r="G88" s="14" t="s">
        <v>522</v>
      </c>
      <c r="H88" s="14" t="s">
        <v>523</v>
      </c>
      <c r="I88" s="16"/>
      <c r="J88" s="16" t="s">
        <v>26</v>
      </c>
      <c r="K88" s="16"/>
      <c r="L88" s="16"/>
      <c r="M88" s="16"/>
    </row>
    <row r="89" customFormat="false" ht="23.85" hidden="false" customHeight="false" outlineLevel="0" collapsed="false">
      <c r="A89" s="14" t="s">
        <v>524</v>
      </c>
      <c r="B89" s="14" t="s">
        <v>35</v>
      </c>
      <c r="C89" s="14" t="s">
        <v>45</v>
      </c>
      <c r="D89" s="14" t="s">
        <v>157</v>
      </c>
      <c r="E89" s="14" t="s">
        <v>168</v>
      </c>
      <c r="F89" s="14" t="s">
        <v>525</v>
      </c>
      <c r="G89" s="14" t="s">
        <v>526</v>
      </c>
      <c r="H89" s="14" t="s">
        <v>527</v>
      </c>
      <c r="I89" s="16"/>
      <c r="J89" s="16" t="s">
        <v>26</v>
      </c>
      <c r="K89" s="16"/>
      <c r="L89" s="16"/>
      <c r="M89" s="16"/>
    </row>
    <row r="90" customFormat="false" ht="23.85" hidden="false" customHeight="false" outlineLevel="0" collapsed="false">
      <c r="A90" s="14" t="s">
        <v>528</v>
      </c>
      <c r="B90" s="14" t="s">
        <v>36</v>
      </c>
      <c r="C90" s="14" t="s">
        <v>122</v>
      </c>
      <c r="D90" s="14" t="s">
        <v>157</v>
      </c>
      <c r="E90" s="14" t="s">
        <v>168</v>
      </c>
      <c r="F90" s="14" t="s">
        <v>529</v>
      </c>
      <c r="G90" s="14" t="s">
        <v>530</v>
      </c>
      <c r="H90" s="14" t="s">
        <v>531</v>
      </c>
      <c r="I90" s="16"/>
      <c r="J90" s="16" t="s">
        <v>26</v>
      </c>
      <c r="K90" s="16"/>
      <c r="L90" s="16"/>
      <c r="M90" s="16"/>
    </row>
    <row r="91" customFormat="false" ht="15" hidden="false" customHeight="false" outlineLevel="0" collapsed="false">
      <c r="A91" s="14" t="s">
        <v>532</v>
      </c>
      <c r="B91" s="14" t="s">
        <v>36</v>
      </c>
      <c r="C91" s="14" t="s">
        <v>122</v>
      </c>
      <c r="D91" s="14" t="s">
        <v>157</v>
      </c>
      <c r="E91" s="14" t="s">
        <v>168</v>
      </c>
      <c r="F91" s="14" t="s">
        <v>533</v>
      </c>
      <c r="G91" s="14" t="s">
        <v>534</v>
      </c>
      <c r="H91" s="14" t="s">
        <v>535</v>
      </c>
      <c r="I91" s="16"/>
      <c r="J91" s="16" t="s">
        <v>26</v>
      </c>
      <c r="K91" s="16"/>
      <c r="L91" s="16"/>
      <c r="M91" s="16"/>
    </row>
    <row r="92" customFormat="false" ht="15" hidden="false" customHeight="false" outlineLevel="0" collapsed="false">
      <c r="A92" s="14" t="s">
        <v>536</v>
      </c>
      <c r="B92" s="14" t="s">
        <v>36</v>
      </c>
      <c r="C92" s="14" t="s">
        <v>122</v>
      </c>
      <c r="D92" s="14" t="s">
        <v>157</v>
      </c>
      <c r="E92" s="14" t="s">
        <v>168</v>
      </c>
      <c r="F92" s="14" t="s">
        <v>537</v>
      </c>
      <c r="G92" s="14" t="s">
        <v>538</v>
      </c>
      <c r="H92" s="14" t="s">
        <v>539</v>
      </c>
      <c r="I92" s="16"/>
      <c r="J92" s="16" t="s">
        <v>26</v>
      </c>
      <c r="K92" s="16"/>
      <c r="L92" s="16"/>
      <c r="M92" s="16"/>
    </row>
    <row r="93" customFormat="false" ht="15" hidden="false" customHeight="false" outlineLevel="0" collapsed="false">
      <c r="A93" s="14" t="s">
        <v>540</v>
      </c>
      <c r="B93" s="14" t="s">
        <v>36</v>
      </c>
      <c r="C93" s="14" t="s">
        <v>122</v>
      </c>
      <c r="D93" s="14" t="s">
        <v>157</v>
      </c>
      <c r="E93" s="14" t="s">
        <v>168</v>
      </c>
      <c r="F93" s="14" t="s">
        <v>541</v>
      </c>
      <c r="G93" s="14" t="s">
        <v>542</v>
      </c>
      <c r="H93" s="14" t="s">
        <v>543</v>
      </c>
      <c r="I93" s="16"/>
      <c r="J93" s="16" t="s">
        <v>26</v>
      </c>
      <c r="K93" s="16"/>
      <c r="L93" s="16"/>
      <c r="M93" s="16"/>
    </row>
    <row r="94" customFormat="false" ht="23.85" hidden="false" customHeight="false" outlineLevel="0" collapsed="false">
      <c r="A94" s="14" t="s">
        <v>544</v>
      </c>
      <c r="B94" s="14" t="s">
        <v>37</v>
      </c>
      <c r="C94" s="14" t="s">
        <v>81</v>
      </c>
      <c r="D94" s="14" t="s">
        <v>157</v>
      </c>
      <c r="E94" s="14" t="s">
        <v>168</v>
      </c>
      <c r="F94" s="14" t="s">
        <v>545</v>
      </c>
      <c r="G94" s="14" t="s">
        <v>546</v>
      </c>
      <c r="H94" s="14" t="s">
        <v>547</v>
      </c>
      <c r="I94" s="16"/>
      <c r="J94" s="16" t="s">
        <v>26</v>
      </c>
      <c r="K94" s="16"/>
      <c r="L94" s="16"/>
      <c r="M94" s="16"/>
    </row>
    <row r="95" customFormat="false" ht="15" hidden="false" customHeight="false" outlineLevel="0" collapsed="false">
      <c r="A95" s="14" t="s">
        <v>548</v>
      </c>
      <c r="B95" s="14" t="s">
        <v>37</v>
      </c>
      <c r="C95" s="14" t="s">
        <v>81</v>
      </c>
      <c r="D95" s="14" t="s">
        <v>157</v>
      </c>
      <c r="E95" s="14" t="s">
        <v>158</v>
      </c>
      <c r="F95" s="14" t="s">
        <v>549</v>
      </c>
      <c r="G95" s="14" t="s">
        <v>550</v>
      </c>
      <c r="H95" s="14" t="s">
        <v>551</v>
      </c>
      <c r="I95" s="16"/>
      <c r="J95" s="16" t="s">
        <v>26</v>
      </c>
      <c r="K95" s="16"/>
      <c r="L95" s="16"/>
      <c r="M95" s="16"/>
    </row>
    <row r="96" customFormat="false" ht="15" hidden="false" customHeight="false" outlineLevel="0" collapsed="false">
      <c r="A96" s="14" t="s">
        <v>552</v>
      </c>
      <c r="B96" s="14" t="s">
        <v>37</v>
      </c>
      <c r="C96" s="14" t="s">
        <v>81</v>
      </c>
      <c r="D96" s="14" t="s">
        <v>157</v>
      </c>
      <c r="E96" s="14" t="s">
        <v>168</v>
      </c>
      <c r="F96" s="14" t="s">
        <v>553</v>
      </c>
      <c r="G96" s="14" t="s">
        <v>554</v>
      </c>
      <c r="H96" s="14" t="s">
        <v>555</v>
      </c>
      <c r="I96" s="16"/>
      <c r="J96" s="16" t="s">
        <v>26</v>
      </c>
      <c r="K96" s="16"/>
      <c r="L96" s="16"/>
      <c r="M96" s="16"/>
    </row>
    <row r="97" customFormat="false" ht="15" hidden="false" customHeight="false" outlineLevel="0" collapsed="false">
      <c r="A97" s="14" t="s">
        <v>556</v>
      </c>
      <c r="B97" s="14" t="s">
        <v>37</v>
      </c>
      <c r="C97" s="14" t="s">
        <v>127</v>
      </c>
      <c r="D97" s="14" t="s">
        <v>157</v>
      </c>
      <c r="E97" s="14" t="s">
        <v>158</v>
      </c>
      <c r="F97" s="14" t="s">
        <v>557</v>
      </c>
      <c r="G97" s="14" t="s">
        <v>558</v>
      </c>
      <c r="H97" s="14" t="s">
        <v>559</v>
      </c>
      <c r="I97" s="16"/>
      <c r="J97" s="16" t="s">
        <v>26</v>
      </c>
      <c r="K97" s="16"/>
      <c r="L97" s="16"/>
      <c r="M97" s="16"/>
    </row>
    <row r="98" customFormat="false" ht="15" hidden="false" customHeight="false" outlineLevel="0" collapsed="false">
      <c r="A98" s="14" t="s">
        <v>560</v>
      </c>
      <c r="B98" s="14" t="s">
        <v>37</v>
      </c>
      <c r="C98" s="14" t="s">
        <v>127</v>
      </c>
      <c r="D98" s="14" t="s">
        <v>157</v>
      </c>
      <c r="E98" s="14" t="s">
        <v>168</v>
      </c>
      <c r="F98" s="14" t="s">
        <v>561</v>
      </c>
      <c r="G98" s="14" t="s">
        <v>562</v>
      </c>
      <c r="H98" s="14" t="s">
        <v>563</v>
      </c>
      <c r="I98" s="16"/>
      <c r="J98" s="16" t="s">
        <v>26</v>
      </c>
      <c r="K98" s="16"/>
      <c r="L98" s="16"/>
      <c r="M98" s="16"/>
    </row>
    <row r="99" customFormat="false" ht="15" hidden="false" customHeight="false" outlineLevel="0" collapsed="false">
      <c r="A99" s="14" t="s">
        <v>564</v>
      </c>
      <c r="B99" s="14" t="s">
        <v>37</v>
      </c>
      <c r="C99" s="14" t="s">
        <v>127</v>
      </c>
      <c r="D99" s="14" t="s">
        <v>234</v>
      </c>
      <c r="E99" s="14" t="s">
        <v>292</v>
      </c>
      <c r="F99" s="14" t="s">
        <v>565</v>
      </c>
      <c r="G99" s="14" t="s">
        <v>566</v>
      </c>
      <c r="H99" s="14" t="s">
        <v>567</v>
      </c>
      <c r="I99" s="16"/>
      <c r="J99" s="16" t="s">
        <v>26</v>
      </c>
      <c r="K99" s="16"/>
      <c r="L99" s="16"/>
      <c r="M99" s="16"/>
    </row>
    <row r="100" customFormat="false" ht="15" hidden="false" customHeight="false" outlineLevel="0" collapsed="false">
      <c r="A100" s="14" t="s">
        <v>568</v>
      </c>
      <c r="B100" s="14" t="s">
        <v>37</v>
      </c>
      <c r="C100" s="14" t="s">
        <v>127</v>
      </c>
      <c r="D100" s="14" t="s">
        <v>234</v>
      </c>
      <c r="E100" s="14" t="s">
        <v>292</v>
      </c>
      <c r="F100" s="14" t="s">
        <v>569</v>
      </c>
      <c r="G100" s="14" t="s">
        <v>570</v>
      </c>
      <c r="H100" s="14" t="s">
        <v>571</v>
      </c>
      <c r="I100" s="16"/>
      <c r="J100" s="16" t="s">
        <v>26</v>
      </c>
      <c r="K100" s="16"/>
      <c r="L100" s="16"/>
      <c r="M100" s="16"/>
    </row>
    <row r="101" customFormat="false" ht="23.85" hidden="false" customHeight="false" outlineLevel="0" collapsed="false">
      <c r="A101" s="14" t="s">
        <v>572</v>
      </c>
      <c r="B101" s="14" t="s">
        <v>38</v>
      </c>
      <c r="C101" s="14" t="s">
        <v>130</v>
      </c>
      <c r="D101" s="14" t="s">
        <v>573</v>
      </c>
      <c r="E101" s="14" t="s">
        <v>158</v>
      </c>
      <c r="F101" s="14" t="s">
        <v>574</v>
      </c>
      <c r="G101" s="14" t="s">
        <v>575</v>
      </c>
      <c r="H101" s="14" t="s">
        <v>576</v>
      </c>
      <c r="I101" s="16"/>
      <c r="J101" s="16" t="s">
        <v>26</v>
      </c>
      <c r="K101" s="16"/>
      <c r="L101" s="16"/>
      <c r="M101" s="16"/>
    </row>
    <row r="102" customFormat="false" ht="15" hidden="false" customHeight="false" outlineLevel="0" collapsed="false">
      <c r="A102" s="14" t="s">
        <v>577</v>
      </c>
      <c r="B102" s="14" t="s">
        <v>38</v>
      </c>
      <c r="C102" s="14" t="s">
        <v>130</v>
      </c>
      <c r="D102" s="14" t="s">
        <v>573</v>
      </c>
      <c r="E102" s="14" t="s">
        <v>158</v>
      </c>
      <c r="F102" s="14" t="s">
        <v>578</v>
      </c>
      <c r="G102" s="14" t="s">
        <v>579</v>
      </c>
      <c r="H102" s="14" t="s">
        <v>580</v>
      </c>
      <c r="I102" s="16"/>
      <c r="J102" s="16" t="s">
        <v>26</v>
      </c>
      <c r="K102" s="16"/>
      <c r="L102" s="16"/>
      <c r="M102" s="16"/>
    </row>
    <row r="103" customFormat="false" ht="23.85" hidden="false" customHeight="false" outlineLevel="0" collapsed="false">
      <c r="A103" s="14" t="s">
        <v>581</v>
      </c>
      <c r="B103" s="14" t="s">
        <v>38</v>
      </c>
      <c r="C103" s="14" t="s">
        <v>582</v>
      </c>
      <c r="D103" s="14" t="s">
        <v>573</v>
      </c>
      <c r="E103" s="14" t="s">
        <v>292</v>
      </c>
      <c r="F103" s="14" t="s">
        <v>583</v>
      </c>
      <c r="G103" s="14" t="s">
        <v>584</v>
      </c>
      <c r="H103" s="14" t="s">
        <v>585</v>
      </c>
      <c r="I103" s="16"/>
      <c r="J103" s="16" t="s">
        <v>26</v>
      </c>
      <c r="K103" s="16"/>
      <c r="L103" s="16"/>
      <c r="M103" s="16"/>
    </row>
    <row r="104" customFormat="false" ht="15" hidden="false" customHeight="false" outlineLevel="0" collapsed="false">
      <c r="A104" s="14" t="s">
        <v>586</v>
      </c>
      <c r="B104" s="14" t="s">
        <v>38</v>
      </c>
      <c r="C104" s="14" t="s">
        <v>133</v>
      </c>
      <c r="D104" s="14" t="s">
        <v>587</v>
      </c>
      <c r="E104" s="14" t="s">
        <v>158</v>
      </c>
      <c r="F104" s="14" t="s">
        <v>588</v>
      </c>
      <c r="G104" s="14" t="s">
        <v>589</v>
      </c>
      <c r="H104" s="14" t="s">
        <v>590</v>
      </c>
      <c r="I104" s="16"/>
      <c r="J104" s="16" t="s">
        <v>26</v>
      </c>
      <c r="K104" s="16"/>
      <c r="L104" s="16"/>
      <c r="M104" s="16"/>
    </row>
    <row r="105" customFormat="false" ht="15" hidden="false" customHeight="false" outlineLevel="0" collapsed="false">
      <c r="A105" s="14" t="s">
        <v>591</v>
      </c>
      <c r="B105" s="14" t="s">
        <v>38</v>
      </c>
      <c r="C105" s="14" t="s">
        <v>133</v>
      </c>
      <c r="D105" s="14" t="s">
        <v>587</v>
      </c>
      <c r="E105" s="14" t="s">
        <v>168</v>
      </c>
      <c r="F105" s="14" t="s">
        <v>592</v>
      </c>
      <c r="G105" s="14" t="s">
        <v>593</v>
      </c>
      <c r="H105" s="14" t="s">
        <v>590</v>
      </c>
      <c r="I105" s="16"/>
      <c r="J105" s="16" t="s">
        <v>26</v>
      </c>
      <c r="K105" s="16"/>
      <c r="L105" s="16"/>
      <c r="M105" s="16"/>
    </row>
    <row r="106" customFormat="false" ht="15" hidden="false" customHeight="false" outlineLevel="0" collapsed="false">
      <c r="A106" s="14" t="s">
        <v>594</v>
      </c>
      <c r="B106" s="14" t="s">
        <v>38</v>
      </c>
      <c r="C106" s="14" t="s">
        <v>133</v>
      </c>
      <c r="D106" s="14" t="s">
        <v>587</v>
      </c>
      <c r="E106" s="14" t="s">
        <v>168</v>
      </c>
      <c r="F106" s="14" t="s">
        <v>595</v>
      </c>
      <c r="G106" s="14" t="s">
        <v>593</v>
      </c>
      <c r="H106" s="14" t="s">
        <v>590</v>
      </c>
      <c r="I106" s="16"/>
      <c r="J106" s="16" t="s">
        <v>26</v>
      </c>
      <c r="K106" s="16"/>
      <c r="L106" s="16"/>
      <c r="M106" s="16"/>
    </row>
    <row r="107" customFormat="false" ht="15" hidden="false" customHeight="false" outlineLevel="0" collapsed="false">
      <c r="A107" s="14" t="s">
        <v>596</v>
      </c>
      <c r="B107" s="14" t="s">
        <v>38</v>
      </c>
      <c r="C107" s="14" t="s">
        <v>133</v>
      </c>
      <c r="D107" s="14" t="s">
        <v>587</v>
      </c>
      <c r="E107" s="14" t="s">
        <v>168</v>
      </c>
      <c r="F107" s="14" t="s">
        <v>597</v>
      </c>
      <c r="G107" s="14" t="s">
        <v>593</v>
      </c>
      <c r="H107" s="14" t="s">
        <v>590</v>
      </c>
      <c r="I107" s="16"/>
      <c r="J107" s="16" t="s">
        <v>26</v>
      </c>
      <c r="K107" s="16"/>
      <c r="L107" s="16"/>
      <c r="M107" s="16"/>
    </row>
    <row r="108" customFormat="false" ht="15" hidden="false" customHeight="false" outlineLevel="0" collapsed="false">
      <c r="A108" s="14" t="s">
        <v>598</v>
      </c>
      <c r="B108" s="14" t="s">
        <v>38</v>
      </c>
      <c r="C108" s="14" t="s">
        <v>133</v>
      </c>
      <c r="D108" s="14" t="s">
        <v>587</v>
      </c>
      <c r="E108" s="14" t="s">
        <v>168</v>
      </c>
      <c r="F108" s="14" t="s">
        <v>599</v>
      </c>
      <c r="G108" s="14" t="s">
        <v>600</v>
      </c>
      <c r="H108" s="14" t="s">
        <v>601</v>
      </c>
      <c r="I108" s="16"/>
      <c r="J108" s="16" t="s">
        <v>26</v>
      </c>
      <c r="K108" s="16"/>
      <c r="L108" s="16"/>
      <c r="M108" s="16"/>
    </row>
    <row r="109" customFormat="false" ht="23.85" hidden="false" customHeight="false" outlineLevel="0" collapsed="false">
      <c r="A109" s="14" t="s">
        <v>602</v>
      </c>
      <c r="B109" s="14" t="s">
        <v>38</v>
      </c>
      <c r="C109" s="14" t="s">
        <v>136</v>
      </c>
      <c r="D109" s="14" t="s">
        <v>603</v>
      </c>
      <c r="E109" s="14" t="s">
        <v>168</v>
      </c>
      <c r="F109" s="14" t="s">
        <v>604</v>
      </c>
      <c r="G109" s="14" t="s">
        <v>605</v>
      </c>
      <c r="H109" s="14" t="s">
        <v>606</v>
      </c>
      <c r="I109" s="16"/>
      <c r="J109" s="16" t="s">
        <v>26</v>
      </c>
      <c r="K109" s="16"/>
      <c r="L109" s="16"/>
      <c r="M109" s="16"/>
    </row>
    <row r="110" customFormat="false" ht="23.85" hidden="false" customHeight="false" outlineLevel="0" collapsed="false">
      <c r="A110" s="14" t="s">
        <v>607</v>
      </c>
      <c r="B110" s="14" t="s">
        <v>38</v>
      </c>
      <c r="C110" s="14" t="s">
        <v>139</v>
      </c>
      <c r="D110" s="14" t="s">
        <v>608</v>
      </c>
      <c r="E110" s="14" t="s">
        <v>168</v>
      </c>
      <c r="F110" s="14" t="s">
        <v>609</v>
      </c>
      <c r="G110" s="14" t="s">
        <v>610</v>
      </c>
      <c r="H110" s="14" t="s">
        <v>611</v>
      </c>
      <c r="I110" s="16"/>
      <c r="J110" s="16" t="s">
        <v>26</v>
      </c>
      <c r="K110" s="16"/>
      <c r="L110" s="16"/>
      <c r="M110" s="16"/>
    </row>
    <row r="111" customFormat="false" ht="35.05" hidden="false" customHeight="false" outlineLevel="0" collapsed="false">
      <c r="A111" s="14" t="s">
        <v>612</v>
      </c>
      <c r="B111" s="14" t="s">
        <v>38</v>
      </c>
      <c r="C111" s="14" t="s">
        <v>613</v>
      </c>
      <c r="D111" s="14" t="s">
        <v>614</v>
      </c>
      <c r="E111" s="14" t="s">
        <v>292</v>
      </c>
      <c r="F111" s="14" t="s">
        <v>615</v>
      </c>
      <c r="G111" s="14" t="s">
        <v>616</v>
      </c>
      <c r="H111" s="14" t="s">
        <v>617</v>
      </c>
      <c r="I111" s="16"/>
      <c r="J111" s="16" t="s">
        <v>26</v>
      </c>
      <c r="K111" s="16"/>
      <c r="L111" s="16"/>
      <c r="M111" s="16"/>
    </row>
    <row r="112" customFormat="false" ht="15" hidden="false" customHeight="false" outlineLevel="0" collapsed="false">
      <c r="A112" s="14" t="s">
        <v>618</v>
      </c>
      <c r="B112" s="14" t="s">
        <v>38</v>
      </c>
      <c r="C112" s="14" t="s">
        <v>582</v>
      </c>
      <c r="D112" s="14" t="s">
        <v>573</v>
      </c>
      <c r="E112" s="14" t="s">
        <v>292</v>
      </c>
      <c r="F112" s="14" t="s">
        <v>619</v>
      </c>
      <c r="G112" s="14" t="s">
        <v>620</v>
      </c>
      <c r="H112" s="14" t="s">
        <v>621</v>
      </c>
      <c r="I112" s="16"/>
      <c r="J112" s="16" t="s">
        <v>26</v>
      </c>
      <c r="K112" s="16"/>
      <c r="L112" s="16"/>
      <c r="M112" s="16"/>
    </row>
    <row r="113" customFormat="false" ht="15" hidden="false" customHeight="false" outlineLevel="0" collapsed="false">
      <c r="A113" s="14" t="s">
        <v>622</v>
      </c>
      <c r="B113" s="14" t="s">
        <v>39</v>
      </c>
      <c r="C113" s="14" t="s">
        <v>93</v>
      </c>
      <c r="D113" s="14" t="s">
        <v>177</v>
      </c>
      <c r="E113" s="14" t="s">
        <v>158</v>
      </c>
      <c r="F113" s="14" t="s">
        <v>623</v>
      </c>
      <c r="G113" s="14" t="s">
        <v>624</v>
      </c>
      <c r="H113" s="14" t="s">
        <v>625</v>
      </c>
      <c r="I113" s="16"/>
      <c r="J113" s="16" t="s">
        <v>26</v>
      </c>
      <c r="K113" s="16"/>
      <c r="L113" s="16"/>
      <c r="M113" s="16"/>
    </row>
    <row r="114" customFormat="false" ht="15" hidden="false" customHeight="false" outlineLevel="0" collapsed="false">
      <c r="A114" s="14" t="s">
        <v>626</v>
      </c>
      <c r="B114" s="14" t="s">
        <v>39</v>
      </c>
      <c r="C114" s="14" t="s">
        <v>93</v>
      </c>
      <c r="D114" s="14" t="s">
        <v>177</v>
      </c>
      <c r="E114" s="14" t="s">
        <v>158</v>
      </c>
      <c r="F114" s="14" t="s">
        <v>627</v>
      </c>
      <c r="G114" s="14" t="s">
        <v>628</v>
      </c>
      <c r="H114" s="14" t="s">
        <v>625</v>
      </c>
      <c r="I114" s="16"/>
      <c r="J114" s="16" t="s">
        <v>26</v>
      </c>
      <c r="K114" s="16"/>
      <c r="L114" s="16"/>
      <c r="M114" s="16"/>
    </row>
    <row r="115" customFormat="false" ht="23.85" hidden="false" customHeight="false" outlineLevel="0" collapsed="false">
      <c r="A115" s="14" t="s">
        <v>629</v>
      </c>
      <c r="B115" s="14" t="s">
        <v>39</v>
      </c>
      <c r="C115" s="14" t="s">
        <v>93</v>
      </c>
      <c r="D115" s="14" t="s">
        <v>177</v>
      </c>
      <c r="E115" s="14" t="s">
        <v>158</v>
      </c>
      <c r="F115" s="14" t="s">
        <v>630</v>
      </c>
      <c r="G115" s="14" t="s">
        <v>631</v>
      </c>
      <c r="H115" s="14" t="s">
        <v>632</v>
      </c>
      <c r="I115" s="16"/>
      <c r="J115" s="16" t="s">
        <v>26</v>
      </c>
      <c r="K115" s="16"/>
      <c r="L115" s="16"/>
      <c r="M115" s="16"/>
    </row>
    <row r="116" customFormat="false" ht="23.85" hidden="false" customHeight="false" outlineLevel="0" collapsed="false">
      <c r="A116" s="14" t="s">
        <v>633</v>
      </c>
      <c r="B116" s="14" t="s">
        <v>39</v>
      </c>
      <c r="C116" s="14" t="s">
        <v>144</v>
      </c>
      <c r="D116" s="14" t="s">
        <v>234</v>
      </c>
      <c r="E116" s="14" t="s">
        <v>158</v>
      </c>
      <c r="F116" s="14" t="s">
        <v>634</v>
      </c>
      <c r="G116" s="14" t="s">
        <v>635</v>
      </c>
      <c r="H116" s="14" t="s">
        <v>636</v>
      </c>
      <c r="I116" s="16"/>
      <c r="J116" s="16" t="s">
        <v>26</v>
      </c>
      <c r="K116" s="16"/>
      <c r="L116" s="16"/>
      <c r="M116" s="16"/>
    </row>
    <row r="117" customFormat="false" ht="15" hidden="false" customHeight="false" outlineLevel="0" collapsed="false">
      <c r="A117" s="14" t="s">
        <v>637</v>
      </c>
      <c r="B117" s="14" t="s">
        <v>39</v>
      </c>
      <c r="C117" s="14" t="s">
        <v>355</v>
      </c>
      <c r="D117" s="14" t="s">
        <v>234</v>
      </c>
      <c r="E117" s="14" t="s">
        <v>168</v>
      </c>
      <c r="F117" s="14" t="s">
        <v>638</v>
      </c>
      <c r="G117" s="14" t="s">
        <v>639</v>
      </c>
      <c r="H117" s="14" t="s">
        <v>640</v>
      </c>
      <c r="I117" s="16"/>
      <c r="J117" s="16" t="s">
        <v>26</v>
      </c>
      <c r="K117" s="16"/>
      <c r="L117" s="16"/>
      <c r="M117" s="16"/>
    </row>
    <row r="118" customFormat="false" ht="15" hidden="false" customHeight="false" outlineLevel="0" collapsed="false">
      <c r="A118" s="14" t="s">
        <v>641</v>
      </c>
      <c r="B118" s="14" t="s">
        <v>39</v>
      </c>
      <c r="C118" s="14" t="s">
        <v>62</v>
      </c>
      <c r="D118" s="14" t="s">
        <v>157</v>
      </c>
      <c r="E118" s="14" t="s">
        <v>168</v>
      </c>
      <c r="F118" s="14" t="s">
        <v>642</v>
      </c>
      <c r="G118" s="14" t="s">
        <v>643</v>
      </c>
      <c r="H118" s="14" t="s">
        <v>644</v>
      </c>
      <c r="I118" s="16"/>
      <c r="J118" s="16" t="s">
        <v>26</v>
      </c>
      <c r="K118" s="16"/>
      <c r="L118" s="16"/>
      <c r="M118" s="16"/>
    </row>
    <row r="119" customFormat="false" ht="23.85" hidden="false" customHeight="false" outlineLevel="0" collapsed="false">
      <c r="A119" s="14" t="s">
        <v>645</v>
      </c>
      <c r="B119" s="14" t="s">
        <v>39</v>
      </c>
      <c r="C119" s="14" t="s">
        <v>646</v>
      </c>
      <c r="D119" s="14" t="s">
        <v>157</v>
      </c>
      <c r="E119" s="14" t="s">
        <v>168</v>
      </c>
      <c r="F119" s="14" t="s">
        <v>647</v>
      </c>
      <c r="G119" s="14" t="s">
        <v>648</v>
      </c>
      <c r="H119" s="14" t="s">
        <v>649</v>
      </c>
      <c r="I119" s="16"/>
      <c r="J119" s="16" t="s">
        <v>26</v>
      </c>
      <c r="K119" s="16"/>
      <c r="L119" s="16"/>
      <c r="M119" s="16"/>
    </row>
  </sheetData>
  <autoFilter ref="A1:M119"/>
  <conditionalFormatting sqref="J2:J119">
    <cfRule type="cellIs" priority="2" operator="equal" aboveAverage="0" equalAverage="0" bottom="0" percent="0" rank="0" text="" dxfId="5">
      <formula>"Pass"</formula>
    </cfRule>
    <cfRule type="cellIs" priority="3" operator="equal" aboveAverage="0" equalAverage="0" bottom="0" percent="0" rank="0" text="" dxfId="6">
      <formula>"Fail"</formula>
    </cfRule>
    <cfRule type="cellIs" priority="4" operator="equal" aboveAverage="0" equalAverage="0" bottom="0" percent="0" rank="0" text="" dxfId="7">
      <formula>"Blocked"</formula>
    </cfRule>
  </conditionalFormatting>
  <dataValidations count="1">
    <dataValidation allowBlank="false" errorStyle="stop" operator="between" showDropDown="false" showErrorMessage="false" showInputMessage="false" sqref="J2:J119" type="list">
      <formula1>"Not run,Pass,Fail,Blocked"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2026-10-22T10:53:10Z</dcterms:created>
  <dc:creator>openpyxl</dc:creator>
  <dc:description/>
  <dc:language>en-US</dc:language>
  <cp:lastModifiedBy/>
  <dcterms:modified xsi:type="dcterms:W3CDTF">2026-10-22T10:53:10Z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